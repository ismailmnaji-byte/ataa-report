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وحة الإشراف العامة للقسم" sheetId="1" r:id="rId4"/>
    <sheet state="hidden" name="قوائم_البيانات" sheetId="2" r:id="rId5"/>
    <sheet state="visible" name="السيد سالم" sheetId="3" r:id="rId6"/>
    <sheet state="visible" name="محمد السويركي" sheetId="4" r:id="rId7"/>
    <sheet state="visible" name="خالد عبد ربه" sheetId="5" r:id="rId8"/>
    <sheet state="visible" name="ناريمان الحجاجرة" sheetId="6" r:id="rId9"/>
    <sheet state="visible" name="مروة حسان" sheetId="7" r:id="rId10"/>
    <sheet state="visible" name="إيمان المبارك" sheetId="8" r:id="rId11"/>
  </sheets>
  <definedNames/>
  <calcPr/>
  <extLst>
    <ext uri="GoogleSheetsCustomDataVersion2">
      <go:sheetsCustomData xmlns:go="http://customooxmlschemas.google.com/" r:id="rId12" roundtripDataChecksum="1bCuaVOwZ64KueCPn68CO/Y4hC0NSzCy/hStETtXQ/4="/>
    </ext>
  </extLst>
</workbook>
</file>

<file path=xl/sharedStrings.xml><?xml version="1.0" encoding="utf-8"?>
<sst xmlns="http://schemas.openxmlformats.org/spreadsheetml/2006/main" count="710" uniqueCount="258">
  <si>
    <t>جميع الأسابيع</t>
  </si>
  <si>
    <t>لوحة المتابعة الإشرافية العامة للتعليم عن بعد - قسم الرياضيات (النسخة المبسطة المحدثة)</t>
  </si>
  <si>
    <t>جميع المجمعات</t>
  </si>
  <si>
    <t>ابتدائي</t>
  </si>
  <si>
    <t>الأسبوع 1</t>
  </si>
  <si>
    <t>رواد الإزدهار</t>
  </si>
  <si>
    <t>متوسط</t>
  </si>
  <si>
    <t>الأسبوع 2</t>
  </si>
  <si>
    <t>رواد الغدير</t>
  </si>
  <si>
    <t>ثانوي</t>
  </si>
  <si>
    <t>الأسبوع 3</t>
  </si>
  <si>
    <t>رواد عرقة</t>
  </si>
  <si>
    <t>الأسبوع 4</t>
  </si>
  <si>
    <t>رواد أشبيلية</t>
  </si>
  <si>
    <t>الأسبوع 5</t>
  </si>
  <si>
    <t>رواد الأندلس</t>
  </si>
  <si>
    <t>تقرير متابعة التعليم عن بعد - قسم الرياضيات - المشرف التربوي: السيد سالم</t>
  </si>
  <si>
    <t>الأسبوع 6</t>
  </si>
  <si>
    <t>رواد قرطبة</t>
  </si>
  <si>
    <t>الأسبوع 7</t>
  </si>
  <si>
    <t>رواد الروابي</t>
  </si>
  <si>
    <t>الأسبوع 8</t>
  </si>
  <si>
    <t>رواد المنصورة</t>
  </si>
  <si>
    <t>الأسبوع 9</t>
  </si>
  <si>
    <t>النخبة -الخرج</t>
  </si>
  <si>
    <t>الأسبوع 10</t>
  </si>
  <si>
    <t>الوسط</t>
  </si>
  <si>
    <t>الأسبوع 11</t>
  </si>
  <si>
    <t>الجودة</t>
  </si>
  <si>
    <t>الأسبوع 12</t>
  </si>
  <si>
    <t>الأسبوع 13</t>
  </si>
  <si>
    <t>الأسبوع 14</t>
  </si>
  <si>
    <t>تقرير متابعة التعليم عن بعد - قسم الرياضيات - المشرف التربوي: محمد السويركي</t>
  </si>
  <si>
    <t>الأسبوع 15</t>
  </si>
  <si>
    <t>الأسبوع 16</t>
  </si>
  <si>
    <t>الأسبوع 17</t>
  </si>
  <si>
    <t>المؤشرات الإجمالية للمشرف (الفصل الدراسي - 17 أسبوعاً)</t>
  </si>
  <si>
    <t>فلتر الأسبوع (1 - 17):</t>
  </si>
  <si>
    <t>العدد / النسبة</t>
  </si>
  <si>
    <t>ملاحظات وتوجيهات الحساب التلقائي</t>
  </si>
  <si>
    <t>فلتر المجمع التعليمي:</t>
  </si>
  <si>
    <t>إجمالي عدد المعلمين (تميز / فرص تحسين)</t>
  </si>
  <si>
    <t>اسم المشرف التربوي</t>
  </si>
  <si>
    <t>إجمالي المعلمين (تميز/تحسين)</t>
  </si>
  <si>
    <t>المعلمون المتميزون</t>
  </si>
  <si>
    <t>الملاحظات وفرص التطوير</t>
  </si>
  <si>
    <t>الملاحظات المحلولة</t>
  </si>
  <si>
    <t>الملاحظات المستمرة</t>
  </si>
  <si>
    <t>نسبة الإغلاق</t>
  </si>
  <si>
    <t>حالة الإنجاز</t>
  </si>
  <si>
    <t>السيد سالم</t>
  </si>
  <si>
    <t>تُحسب آلياً من لوحة التميز + سجل التطوير والملاحظات</t>
  </si>
  <si>
    <t>إجمالي المعلمين المتميزين</t>
  </si>
  <si>
    <t>تُحسب آلياً من لوحة المعلمين المتميزين</t>
  </si>
  <si>
    <t>إجمالي فرص التطوير والملاحظات المرصودة</t>
  </si>
  <si>
    <t>تُحسب آلياً من الجدول الموحد للتطوير والملاحظات</t>
  </si>
  <si>
    <t>الملاحظات التي تم حلها</t>
  </si>
  <si>
    <t>تُحدث تلقائياً عند اختيار (تم الحل) في حالة الملاحظة</t>
  </si>
  <si>
    <t>الملاحظات وفرص التطوير الجاري متابعتها</t>
  </si>
  <si>
    <t>نسبة إغلاق الملاحظات</t>
  </si>
  <si>
    <t>نسبة الإنجاز والمعالجة الفعلية للملاحظات</t>
  </si>
  <si>
    <t>أولاً: لوحة المعلمين المتميزين</t>
  </si>
  <si>
    <t>الأسبوع</t>
  </si>
  <si>
    <t>اسم المعلم</t>
  </si>
  <si>
    <t>المجمع</t>
  </si>
  <si>
    <t>المرحلة</t>
  </si>
  <si>
    <t>أبرز الممارسات الإيجابية المرصودة</t>
  </si>
  <si>
    <t>تاريخ الزيارة</t>
  </si>
  <si>
    <t>خالد أبو بكر</t>
  </si>
  <si>
    <t>تقرير متابعة التعليم عن بعد - قسم الرياضيات - المشرف التربوي: خالد عبد ربه</t>
  </si>
  <si>
    <t xml:space="preserve">تفعيل عروض بوربوينت متميزة </t>
  </si>
  <si>
    <t>رضا النعيمي</t>
  </si>
  <si>
    <t>تفعيل حصص ومذكرة القدرات</t>
  </si>
  <si>
    <t>عبد الحكيم سالمان</t>
  </si>
  <si>
    <t>ايمن كارم</t>
  </si>
  <si>
    <t xml:space="preserve">تفعيل حصص القدرات بكفاءة </t>
  </si>
  <si>
    <t>توظيف منصة كاهوت و توليد الأسئلة بالذكائ الاصطناعي في نافس الرياضيات</t>
  </si>
  <si>
    <t>طه أبو كريشه</t>
  </si>
  <si>
    <t>التحفيز +فيديوهات من إعداد الزميل +مسابقات التحدي</t>
  </si>
  <si>
    <t>أحمد حسن</t>
  </si>
  <si>
    <t>عبد الله محتار</t>
  </si>
  <si>
    <t>متابعة أعمال الطلاب التحريرية التي يرسلها الطلاب على الشات</t>
  </si>
  <si>
    <t>متابعة الحضور والواجبات على كلاسيرا مع الطلاب + عروض بور بوينت متميزة</t>
  </si>
  <si>
    <t>رضا السعيد</t>
  </si>
  <si>
    <t>جمال السيد إبراهيم</t>
  </si>
  <si>
    <t>تفعيل استراتيجيات الحل السريع في القدرات الكمي مع تحديد وقت تنازلي لتعزيز السرعة و الدقة</t>
  </si>
  <si>
    <t>18 اكتوبر 2026</t>
  </si>
  <si>
    <t>إدارة حصص القدرات بكفاءة وتميز</t>
  </si>
  <si>
    <t>محمد عامر</t>
  </si>
  <si>
    <t>أشرف السيد داوود</t>
  </si>
  <si>
    <t>تفعيل عرض بوربوينت بجودة عالية و متابعة اعمال الطلاب</t>
  </si>
  <si>
    <t>ربط الدرس بالأسئلة التحصيلية رغم صف أول ثانوي</t>
  </si>
  <si>
    <t>محمود خطاب</t>
  </si>
  <si>
    <t>تحفيز الطلاب وتقويم أدائهم باستمرار، والتحقق من استيعابهم</t>
  </si>
  <si>
    <t>السيد نوفل</t>
  </si>
  <si>
    <t>طه إمام</t>
  </si>
  <si>
    <t>إدارة حصة القدرات بتميز وتنوع الاستراتيجيات</t>
  </si>
  <si>
    <t>تفعيل بوربوينت بجودة عالية و التحقق من استيعاب الطلاب</t>
  </si>
  <si>
    <t>السيد إبراهيم جادو</t>
  </si>
  <si>
    <t>فارس الحربي</t>
  </si>
  <si>
    <t>تفعيل أدوات الذكاء الاصطناعي بمهارة</t>
  </si>
  <si>
    <t>شريف عبد الستار دياب</t>
  </si>
  <si>
    <t>التنوع في استراتيجيات التدريس و تحفيز الطلاب</t>
  </si>
  <si>
    <t>محمد الشهري</t>
  </si>
  <si>
    <t>إدارة حصة موهبة بتميز</t>
  </si>
  <si>
    <t>محمد سعيد</t>
  </si>
  <si>
    <t>عبدالله الرازقي</t>
  </si>
  <si>
    <t>عرض مشروع ستيم بعنوان ( المياه هي الحياة )</t>
  </si>
  <si>
    <t>حسن شعبان</t>
  </si>
  <si>
    <t>فهد العتيبي</t>
  </si>
  <si>
    <t>ياسر عامر</t>
  </si>
  <si>
    <t>توظيف الذكاء الاصطناعي في توليد أسئلة في القدرات الكمي</t>
  </si>
  <si>
    <t>وليد عبد المنعم</t>
  </si>
  <si>
    <t>تفعيل استراتيجيات الحل الذ1هني السريع</t>
  </si>
  <si>
    <t>ياسر السويركي</t>
  </si>
  <si>
    <t>تفعيل برامج تقنية تفاعلية تعليمية و برامج تحفيزية</t>
  </si>
  <si>
    <t>أحمد مشهور</t>
  </si>
  <si>
    <t>محمد السويركي</t>
  </si>
  <si>
    <t>تفعيل بوربوينت بجودة عالية و تحفيز الطلاب</t>
  </si>
  <si>
    <t>علي خلف</t>
  </si>
  <si>
    <t>ثانياً: سجل متابعة التطوير المهني وإغلاق الملاحظات (الجدول الموحد والمبسط)</t>
  </si>
  <si>
    <t>تدريب الطلاب على استراتيجيات الحل السريع و الدقة في الاجابة</t>
  </si>
  <si>
    <t>محمد الخلف</t>
  </si>
  <si>
    <t>اسم المعلم (أو ملاحظة عامة)</t>
  </si>
  <si>
    <t>الملاحظة / فرصة التطوير المحددة</t>
  </si>
  <si>
    <t>خطة الدعم والإجراء المتخذ</t>
  </si>
  <si>
    <t>حالة الملاحظة (تم الحل / مستمرة)</t>
  </si>
  <si>
    <t>عباس إبراهيم</t>
  </si>
  <si>
    <t>عدم تفعيل الفصول الافتراضية على كلاسيرا</t>
  </si>
  <si>
    <t>إرسال روابط للطلاب ( زووم)</t>
  </si>
  <si>
    <t>مستمرة</t>
  </si>
  <si>
    <t>عبد الرحمن حميدة</t>
  </si>
  <si>
    <t>أسامه الأشقر</t>
  </si>
  <si>
    <t>مشكلة في التيمز</t>
  </si>
  <si>
    <t>تواصل الزميل مع التقنية  وتم حل المشكلة</t>
  </si>
  <si>
    <t>تم الحل</t>
  </si>
  <si>
    <t>عبد الحكيم قطب</t>
  </si>
  <si>
    <t>جلوي العتيبي</t>
  </si>
  <si>
    <t>تم حلها بالتواصل مع مسؤول التقنية</t>
  </si>
  <si>
    <t>محمد صلاح</t>
  </si>
  <si>
    <t>رجب محمود</t>
  </si>
  <si>
    <t>إنشاء روابط زووم</t>
  </si>
  <si>
    <t>أحمد مجاهد</t>
  </si>
  <si>
    <t>إنشاء روابط زووم وإرسالها للطلاب+ التوصل مع التقنية ولم تُحل المشكلة وسيتم متابعتها</t>
  </si>
  <si>
    <t>أيمن كارم</t>
  </si>
  <si>
    <t>ضعف عدد الطلاب بسبب عدم توثيق العقود</t>
  </si>
  <si>
    <t xml:space="preserve">التواصل مع مدير القسم </t>
  </si>
  <si>
    <t>خالد عبد ربه</t>
  </si>
  <si>
    <t>ناريمان الحجاجرة</t>
  </si>
  <si>
    <t>مروة حسان</t>
  </si>
  <si>
    <t>تقرير متابعة التعليم عن بعد - قسم الرياضيات - المشرف التربوي: ناريمان الحجاجرة</t>
  </si>
  <si>
    <t>تقرير متابعة التعليم عن بعد - قسم الرياضيات - المشرف التربوي: مروة حسان</t>
  </si>
  <si>
    <t>إجمالي عدد المعلمات (تميز / فرص تحسين)</t>
  </si>
  <si>
    <t>إيمان المبارك</t>
  </si>
  <si>
    <t>تقرير متابعة التعليم عن بعد - قسم الرياضيات - المشرف التربوي: إيمان المبارك</t>
  </si>
  <si>
    <t>أمجاد قعاري</t>
  </si>
  <si>
    <t>الإدارة العالية لتفاعل الطالبات و تثبيت مهارات الدرس بتقويم ختامي مميزبتوظيف التقنية + توظيف معامل الرياضيات الأفتراضية لتمثيل العمليات الحسابية</t>
  </si>
  <si>
    <t xml:space="preserve">ريم العنزي </t>
  </si>
  <si>
    <t>روان الرثيع</t>
  </si>
  <si>
    <t>عروض تقديمية إبداعية للدرس بإستراتيجيات تتناسب مع طالبات الصف الأول الابتدائي و تفعيل مميز للـ wordwall</t>
  </si>
  <si>
    <t xml:space="preserve">توظيف التطبيقات التفاعلية بدرس طرح الاعداد الحقيقة </t>
  </si>
  <si>
    <t xml:space="preserve">12 أوكتوبر </t>
  </si>
  <si>
    <t>سارة الصوينع</t>
  </si>
  <si>
    <t xml:space="preserve">نورة الخريب </t>
  </si>
  <si>
    <t>تفعيل معامل الرياضيات الإلكترونية لمراجعة وترسيخ جدول الضرب في 2، تفعيل wordwall ، عرض فيديو لأهمية واستخدامات الاحتمالات في واقع الحياة</t>
  </si>
  <si>
    <t>وظفت درس ثري يتمحور على الطالبات العملية التعليمية وتوظيف التعلم باللعب في مجموعات تنافسية عبر منصة Wordwall</t>
  </si>
  <si>
    <t xml:space="preserve">13أوكتوبر </t>
  </si>
  <si>
    <t>سلطانة الطلاحين</t>
  </si>
  <si>
    <t xml:space="preserve">احلام جابر </t>
  </si>
  <si>
    <t>تنفيذ تحديات إلكترونية بين الطالبات في تعزيز مهارات كل درس عن طريق موقع إلعاب الرياضيات للصف الأول المتوسط</t>
  </si>
  <si>
    <t xml:space="preserve">تخفيز الطالبات في الفصول الافتراضية بأصدار لوحة نجوم وشهادات تحفيز وشكر وتفعيل التقنية الفعالة وتطبيق ماثجون </t>
  </si>
  <si>
    <t>13 أكتوبر - 15 أكتوبر</t>
  </si>
  <si>
    <t xml:space="preserve">13 أوكتوبر </t>
  </si>
  <si>
    <t>نجود هزازي</t>
  </si>
  <si>
    <t xml:space="preserve">نوير العجمي </t>
  </si>
  <si>
    <t xml:space="preserve">تنوع الاستراتيجيات، توظيف الذكاء الاصطناعي ، و التدريب على الاختبارات الوطنية </t>
  </si>
  <si>
    <t xml:space="preserve">تسلسل درس منطقي متكامل  وربط المقرر بمهارات نافس </t>
  </si>
  <si>
    <t xml:space="preserve">14 أوكتوبر </t>
  </si>
  <si>
    <t>عفاف الحربي</t>
  </si>
  <si>
    <t xml:space="preserve">فاديا العتيبي </t>
  </si>
  <si>
    <t>تفعيل الجيوجبرا لتمثيل معادلات المستقيم</t>
  </si>
  <si>
    <t xml:space="preserve">عرض تقديمي متنوع من استراتجيات فعالة تخدم التعلم عن بعد وتوظيف التقنية في طرح الاعداد المكونة من ثلاثة أرقام </t>
  </si>
  <si>
    <t xml:space="preserve">ريمةالقحطاني </t>
  </si>
  <si>
    <t>الهنوف الغامدي</t>
  </si>
  <si>
    <t>منيرة العتيبي</t>
  </si>
  <si>
    <r>
      <rPr>
        <rFont val="Arial"/>
        <color theme="1"/>
        <sz val="11.0"/>
      </rPr>
      <t xml:space="preserve">تنفيذ تحدي لمراجعة جدول الضرب( طلاقة جدول الضرب) بتوظيف أداة الذكاء الاصطناعي </t>
    </r>
    <r>
      <rPr>
        <rFont val="Arial"/>
        <color rgb="FF1155CC"/>
        <sz val="11.0"/>
        <u/>
      </rPr>
      <t>claude.ai</t>
    </r>
    <r>
      <rPr>
        <rFont val="Arial"/>
        <color theme="1"/>
        <sz val="11.0"/>
      </rPr>
      <t xml:space="preserve"> ، تنفيذ مسابقة روبلوكس( دوري أبطال الرياضيات) لتعزيز مهارة العمليات الحسابية لدى الطالبات</t>
    </r>
  </si>
  <si>
    <t xml:space="preserve">فاطمة الشهراني </t>
  </si>
  <si>
    <t>الإجمالي العام للقسم</t>
  </si>
  <si>
    <t xml:space="preserve">تفعيل التطبيقات التفاعلية  واصدار شهادات تميز للمتفاعلين وحفزت انضباط الطلاب </t>
  </si>
  <si>
    <t xml:space="preserve">ساجدة أبو عابد </t>
  </si>
  <si>
    <t xml:space="preserve">تفعيل ممتاز وفاعل لفصل افتراضي لحصة تدريب القدرات </t>
  </si>
  <si>
    <t xml:space="preserve">بدرية الشمري </t>
  </si>
  <si>
    <t xml:space="preserve">أفضل تفعيل لتدريب نسمو عن بعد </t>
  </si>
  <si>
    <t xml:space="preserve">سماح النخلي </t>
  </si>
  <si>
    <t xml:space="preserve">توظيف اسئلة مهارات التفكير العليا  والتنوع بالأسئلة المطروحة حسب هرم بلوم </t>
  </si>
  <si>
    <t xml:space="preserve">عفاف الصغير </t>
  </si>
  <si>
    <t xml:space="preserve">15 أوكتوبر </t>
  </si>
  <si>
    <t>-</t>
  </si>
  <si>
    <t xml:space="preserve">أداء متميز في حصص نافس وتدريب الطالبات على استراتيجيات الحل - تعزيز مميز للطالبات المتميزات في جدول الضرب بإصدار بطاقة شكر </t>
  </si>
  <si>
    <t xml:space="preserve">هدى عطية </t>
  </si>
  <si>
    <t xml:space="preserve">فاطمة المنسي </t>
  </si>
  <si>
    <t>ملخص المؤشرات والملاحظات حسب المجمع التعليمي (يتفاعل تلقائياً مع فلتر الأسبوع بأعلى الصفحة)</t>
  </si>
  <si>
    <t xml:space="preserve">قمة التفاعل والحماس من الطالبات الذي وظفته وتوظيف التعلم باللعب وكسر الجمود بالحصة </t>
  </si>
  <si>
    <t>توظيف تطبيق كلاود التفاعلي في دراسة الأبعاد في المستوى الإحداثي و تنفيذ اختبار تفاعلي</t>
  </si>
  <si>
    <t>نجود العتيبي</t>
  </si>
  <si>
    <t>المجمع التعليمي</t>
  </si>
  <si>
    <r>
      <rPr>
        <rFont val="Arial"/>
        <color theme="1"/>
        <sz val="11.0"/>
      </rPr>
      <t>توظيف أدوات الذكاء الاصطناعي (</t>
    </r>
    <r>
      <rPr>
        <rFont val="Arial"/>
        <color rgb="FF1155CC"/>
        <sz val="11.0"/>
        <u/>
      </rPr>
      <t xml:space="preserve"> رابط</t>
    </r>
    <r>
      <rPr>
        <rFont val="Arial"/>
        <color theme="1"/>
        <sz val="11.0"/>
      </rPr>
      <t>) ، و توظيفه في إعداد مكتشف نقطة المنتصف</t>
    </r>
  </si>
  <si>
    <t>حالة المجمع</t>
  </si>
  <si>
    <t>دلال عرفان</t>
  </si>
  <si>
    <t>تفعيل الجيوجبرا في درس الدوال الأسية لتمثيل الدوال وتقدير القيم، وتفعيل حصص القدرات بكفاءة</t>
  </si>
  <si>
    <t>نهال العويني</t>
  </si>
  <si>
    <t xml:space="preserve">توظيف wordwall  في ترسيخ وتثبيت نظريات إثبات توازي مستقيمين و توظيف التعلم باللعب( لعبة المتاهة) ، وإعداد فيديو تعزيزي شكر وتقدير للطالبات المشاركات والمتفاعلات </t>
  </si>
  <si>
    <t>12 أكتوبر و 15 أكتوبر</t>
  </si>
  <si>
    <t>رزان الحربي</t>
  </si>
  <si>
    <t xml:space="preserve">تفعيل الوسائط المتنوعة في دعم وإثراء الحصص </t>
  </si>
  <si>
    <t xml:space="preserve">دينا أيمن </t>
  </si>
  <si>
    <t>توظيف wordwall في درس صيغ معادلة المستقيم ، الربط بأسئلة التحصيلي التدريب على استراتيجيات الحل</t>
  </si>
  <si>
    <t>سعاد العتيبي</t>
  </si>
  <si>
    <t xml:space="preserve">ربط الدروس بأسئلة التحصيلي </t>
  </si>
  <si>
    <t>11 أكتوبر و 14 أكتوبر</t>
  </si>
  <si>
    <t>نورة المطيري</t>
  </si>
  <si>
    <t xml:space="preserve">الاستغراق وقت طويل بالتمهيد للدرس استغرق 25 دقيقة قبل البدي بالمفهوم الاساسي </t>
  </si>
  <si>
    <t xml:space="preserve">التخطيط الفعال للدروس </t>
  </si>
  <si>
    <t xml:space="preserve">ابتسام المطيري </t>
  </si>
  <si>
    <t xml:space="preserve">الانتقال من الشرح التقليدي النمطي بحصص موهبة إلى أنشطة  تنفذها طالبات فصول موهبة وبمهام واضحة  وتحقيق التمايز واستغلال الفصل المقلوب </t>
  </si>
  <si>
    <t xml:space="preserve">دعم المعلمة بشرح استمارة موهبة </t>
  </si>
  <si>
    <t>اسراء خالد</t>
  </si>
  <si>
    <t xml:space="preserve">حل المشاكل اضافة الفصول الافتراضية عبر منصة كلاسيرا والعمل على تجنب الروابط الخارجية </t>
  </si>
  <si>
    <t xml:space="preserve">التواصل مع إدارة القسم </t>
  </si>
  <si>
    <t xml:space="preserve">روان القحطاني </t>
  </si>
  <si>
    <t xml:space="preserve">التقنية الفاعلة في إدارة الفصول الأفتراضية  </t>
  </si>
  <si>
    <t>دعم المعلمة المستجدة بدورات تطوير مهني لدعمها</t>
  </si>
  <si>
    <t xml:space="preserve">العنود الحربي </t>
  </si>
  <si>
    <t>ضبط العروض والدروس التفاعلية التي تحمل هوية شركة عطاء التعليمية والالتزام الكلي بالتخطيط الخماسي</t>
  </si>
  <si>
    <t xml:space="preserve">دعم المعلمة بتطوير مهارات العروض وانشاءها </t>
  </si>
  <si>
    <t>بسمة كحلوت</t>
  </si>
  <si>
    <t>خلل تقني بحساب المعلمة  وإضافة الفصول الافتراضية على كلاسيرا</t>
  </si>
  <si>
    <t>التوجيه بخطة بديلة وإنشاء فصول افتراضية خارجية</t>
  </si>
  <si>
    <t>استغراق وقت طويل في قبول الطالبات في ساحة الانتظار</t>
  </si>
  <si>
    <t>إرسال فيديو في مجموعة المعلمات لطريقة فتح الاجتماع للجميع + الدخول مع المعلمة وحل المشكلة</t>
  </si>
  <si>
    <t>أماني الوليدي</t>
  </si>
  <si>
    <t>تغيب الطالبات كليًا عن حصص الإحصاء</t>
  </si>
  <si>
    <t>التوصية بتواصل الإدارة مع الطالبات وأمهاتهن لحثهن وبيان أهمية الحضور</t>
  </si>
  <si>
    <t>نوال المهدي</t>
  </si>
  <si>
    <t>عدم مشاركة الشاشة (عرض تقديمي للدرس)</t>
  </si>
  <si>
    <t xml:space="preserve">التواصل المباشر مع المعلمة </t>
  </si>
  <si>
    <t>منى المطيري</t>
  </si>
  <si>
    <t xml:space="preserve">إرسال فيديو في مجموعة المعلمات لطريقة فتح الاجتماع للجميع + التواصل مع مديرة المدرسة بعد تكرر الملاحظة </t>
  </si>
  <si>
    <t>جواهر الدوسري</t>
  </si>
  <si>
    <t>إدارة زمن الحصة، حيث استغرق البدء الفعلي للدرس مايقارب نصف وقت زمن الحصة</t>
  </si>
  <si>
    <t>التخطيط الجيد وإدارة زمن الحصة الافتراضية بكفاءة والاستغلال المثل لوقت الحصة</t>
  </si>
  <si>
    <t>لمياء الجعيد</t>
  </si>
  <si>
    <t>ضبط طالبات الصف الأول الابتدائي في القاعة الافتراضية</t>
  </si>
  <si>
    <t>توجيه عام في مجموعة المعلمات بضبط تفاعل الطالبات وتعطيل الكاميرا و المايك إن لزم الأمر وفتحه فقط للطالبة المشاركة</t>
  </si>
  <si>
    <t xml:space="preserve">أنفال الحربي </t>
  </si>
  <si>
    <t xml:space="preserve">التمثيل البياني لمعادلات المستقيم واستنتاج ميل المستقيمات </t>
  </si>
  <si>
    <t xml:space="preserve">تفعيل الجيوجبرا والأدوات الهندسية والاستعداد بتفعيل السبورة البيضاء(تم تزويدها بفيديو شرح) </t>
  </si>
  <si>
    <t>إجمالي المجمعات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</si>
</sst>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 mmmm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rgb="FF002060"/>
      <name val="Arial"/>
    </font>
    <font>
      <b/>
      <sz val="11.0"/>
      <color rgb="FFFFFFFF"/>
      <name val="Arial"/>
    </font>
    <font>
      <b/>
      <sz val="11.0"/>
      <color rgb="FFC00000"/>
      <name val="Arial"/>
    </font>
    <font>
      <sz val="11.0"/>
      <color theme="1"/>
      <name val="Arial"/>
    </font>
    <font>
      <b/>
      <sz val="10.0"/>
      <color rgb="FFFF0000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sz val="10.0"/>
      <color rgb="FF002060"/>
      <name val="Arial"/>
    </font>
    <font>
      <b/>
      <i/>
      <sz val="10.0"/>
      <color rgb="FFFF0000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i/>
      <sz val="9.0"/>
      <color rgb="FFFF0000"/>
      <name val="Arial"/>
    </font>
    <font>
      <color theme="1"/>
      <name val="Calibri"/>
      <scheme val="minor"/>
    </font>
    <font>
      <b/>
      <sz val="10.0"/>
      <color rgb="FF0070C0"/>
      <name val="Arial"/>
    </font>
    <font>
      <b/>
      <sz val="10.0"/>
      <color theme="1"/>
      <name val="Arial"/>
    </font>
    <font>
      <b/>
      <sz val="11.0"/>
      <color rgb="FF002060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u/>
      <sz val="11.0"/>
      <color theme="1"/>
      <name val="Arial"/>
    </font>
    <font>
      <b/>
      <sz val="13.0"/>
      <color theme="1"/>
      <name val="Calibri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0070C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top style="medium">
        <color rgb="FF002060"/>
      </top>
      <bottom style="medium">
        <color rgb="FF002060"/>
      </bottom>
    </border>
    <border>
      <left style="thick">
        <color rgb="FF000000"/>
      </left>
      <top style="thick">
        <color rgb="FF000000"/>
      </top>
      <bottom/>
    </border>
    <border>
      <right style="thin">
        <color rgb="FFA6A6A6"/>
      </right>
      <top style="medium">
        <color rgb="FF002060"/>
      </top>
      <bottom style="medium">
        <color rgb="FF002060"/>
      </bottom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n">
        <color rgb="FFA6A6A6"/>
      </left>
      <right style="thin">
        <color rgb="FFA6A6A6"/>
      </right>
      <top style="medium">
        <color rgb="FF002060"/>
      </top>
      <bottom style="medium">
        <color rgb="FF002060"/>
      </bottom>
    </border>
    <border>
      <left style="thick">
        <color rgb="FF000000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n">
        <color rgb="FFA6A6A6"/>
      </bottom>
    </border>
    <border>
      <left style="thick">
        <color rgb="FF000000"/>
      </left>
      <top style="thin">
        <color rgb="FFA6A6A6"/>
      </top>
      <bottom style="thick">
        <color rgb="FF000000"/>
      </bottom>
    </border>
    <border>
      <top style="thin">
        <color rgb="FFA6A6A6"/>
      </top>
      <bottom style="thick">
        <color rgb="FF000000"/>
      </bottom>
    </border>
    <border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206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4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4" fontId="5" numFmtId="0" xfId="0" applyAlignment="1" applyBorder="1" applyFill="1" applyFont="1">
      <alignment horizontal="center" readingOrder="0" vertical="center"/>
    </xf>
    <xf borderId="10" fillId="4" fontId="5" numFmtId="0" xfId="0" applyAlignment="1" applyBorder="1" applyFill="1" applyFont="1">
      <alignment readingOrder="0" vertical="center"/>
    </xf>
    <xf borderId="11" fillId="5" fontId="6" numFmtId="0" xfId="0" applyAlignment="1" applyBorder="1" applyFill="1" applyFont="1">
      <alignment horizontal="center" readingOrder="0" vertical="center"/>
    </xf>
    <xf borderId="0" fillId="0" fontId="7" numFmtId="0" xfId="0" applyFont="1"/>
    <xf borderId="12" fillId="0" fontId="8" numFmtId="0" xfId="0" applyAlignment="1" applyBorder="1" applyFont="1">
      <alignment horizontal="right" readingOrder="0" vertical="center"/>
    </xf>
    <xf borderId="13" fillId="0" fontId="3" numFmtId="0" xfId="0" applyBorder="1" applyFont="1"/>
    <xf borderId="14" fillId="0" fontId="3" numFmtId="0" xfId="0" applyBorder="1" applyFont="1"/>
    <xf borderId="4" fillId="3" fontId="9" numFmtId="0" xfId="0" applyAlignment="1" applyBorder="1" applyFill="1" applyFont="1">
      <alignment horizontal="right" vertical="center"/>
    </xf>
    <xf borderId="15" fillId="6" fontId="10" numFmtId="0" xfId="0" applyAlignment="1" applyBorder="1" applyFill="1" applyFont="1">
      <alignment horizontal="center" readingOrder="0" shrinkToFit="0" vertical="center" wrapText="1"/>
    </xf>
    <xf borderId="15" fillId="6" fontId="10" numFmtId="0" xfId="0" applyAlignment="1" applyBorder="1" applyFill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vertical="center"/>
    </xf>
    <xf borderId="16" fillId="0" fontId="13" numFmtId="0" xfId="0" applyAlignment="1" applyBorder="1" applyFont="1">
      <alignment readingOrder="0" vertical="center"/>
    </xf>
    <xf borderId="14" fillId="0" fontId="7" numFmtId="0" xfId="0" applyBorder="1" applyFont="1"/>
    <xf borderId="15" fillId="0" fontId="7" numFmtId="0" xfId="0" applyBorder="1" applyFont="1"/>
    <xf borderId="12" fillId="0" fontId="8" numFmtId="0" xfId="0" applyAlignment="1" applyBorder="1" applyFont="1">
      <alignment horizontal="right" readingOrder="0" vertical="center"/>
    </xf>
    <xf borderId="15" fillId="0" fontId="14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right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12" numFmtId="9" xfId="0" applyAlignment="1" applyBorder="1" applyFont="1" applyNumberFormat="1">
      <alignment horizontal="center" vertical="center"/>
    </xf>
    <xf borderId="21" fillId="0" fontId="13" numFmtId="0" xfId="0" applyAlignment="1" applyBorder="1" applyFont="1">
      <alignment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5" fillId="3" fontId="12" numFmtId="0" xfId="0" applyAlignment="1" applyBorder="1" applyFill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right" readingOrder="0" vertical="center"/>
    </xf>
    <xf borderId="15" fillId="0" fontId="7" numFmtId="0" xfId="0" applyAlignment="1" applyBorder="1" applyFont="1">
      <alignment horizontal="center" vertical="center"/>
    </xf>
    <xf borderId="21" fillId="0" fontId="16" numFmtId="0" xfId="0" applyAlignment="1" applyBorder="1" applyFont="1">
      <alignment readingOrder="0" vertical="center"/>
    </xf>
    <xf borderId="15" fillId="0" fontId="7" numFmtId="164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readingOrder="0"/>
    </xf>
    <xf borderId="15" fillId="0" fontId="7" numFmtId="0" xfId="0" applyAlignment="1" applyBorder="1" applyFont="1">
      <alignment horizontal="right" vertical="center"/>
    </xf>
    <xf borderId="15" fillId="0" fontId="18" numFmtId="9" xfId="0" applyAlignment="1" applyBorder="1" applyFont="1" applyNumberFormat="1">
      <alignment horizontal="center" vertical="center"/>
    </xf>
    <xf borderId="15" fillId="3" fontId="12" numFmtId="0" xfId="0" applyAlignment="1" applyBorder="1" applyFill="1" applyFont="1">
      <alignment horizontal="center" readingOrder="0" shrinkToFit="0" vertical="center" wrapText="1"/>
    </xf>
    <xf borderId="15" fillId="0" fontId="19" numFmtId="0" xfId="0" applyAlignment="1" applyBorder="1" applyFont="1">
      <alignment horizontal="center" vertical="center"/>
    </xf>
    <xf borderId="20" fillId="0" fontId="19" numFmtId="9" xfId="0" applyAlignment="1" applyBorder="1" applyFont="1" applyNumberFormat="1">
      <alignment horizontal="center" vertical="center"/>
    </xf>
    <xf borderId="15" fillId="3" fontId="20" numFmtId="0" xfId="0" applyAlignment="1" applyBorder="1" applyFill="1" applyFont="1">
      <alignment horizontal="center" readingOrder="0" vertical="center"/>
    </xf>
    <xf borderId="17" fillId="0" fontId="19" numFmtId="0" xfId="0" applyAlignment="1" applyBorder="1" applyFont="1">
      <alignment horizontal="right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right" readingOrder="0" vertical="center"/>
    </xf>
    <xf borderId="15" fillId="0" fontId="7" numFmtId="165" xfId="0" applyAlignment="1" applyBorder="1" applyFont="1" applyNumberForma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horizontal="center" readingOrder="0" vertical="center"/>
    </xf>
    <xf borderId="22" fillId="3" fontId="4" numFmtId="0" xfId="0" applyAlignment="1" applyBorder="1" applyFill="1" applyFont="1">
      <alignment horizontal="center" readingOrder="0" vertical="center"/>
    </xf>
    <xf borderId="22" fillId="3" fontId="11" numFmtId="0" xfId="0" applyAlignment="1" applyBorder="1" applyFill="1" applyFont="1">
      <alignment horizontal="center" vertical="center"/>
    </xf>
    <xf borderId="15" fillId="0" fontId="23" numFmtId="0" xfId="0" applyAlignment="1" applyBorder="1" applyFont="1">
      <alignment horizontal="right" readingOrder="0" vertical="center"/>
    </xf>
    <xf borderId="15" fillId="0" fontId="24" numFmtId="0" xfId="0" applyAlignment="1" applyBorder="1" applyFont="1">
      <alignment horizontal="center" readingOrder="0" vertical="center"/>
    </xf>
    <xf borderId="22" fillId="3" fontId="4" numFmtId="9" xfId="0" applyAlignment="1" applyBorder="1" applyFill="1" applyFont="1" applyNumberFormat="1">
      <alignment horizontal="center" vertical="center"/>
    </xf>
    <xf borderId="15" fillId="0" fontId="25" numFmtId="0" xfId="0" applyAlignment="1" applyBorder="1" applyFont="1">
      <alignment horizontal="center" readingOrder="0" vertical="center"/>
    </xf>
    <xf borderId="22" fillId="3" fontId="7" numFmtId="0" xfId="0" applyAlignment="1" applyBorder="1" applyFill="1" applyFont="1">
      <alignment horizontal="center" vertical="center"/>
    </xf>
    <xf borderId="1" fillId="2" fontId="15" numFmtId="0" xfId="0" applyAlignment="1" applyBorder="1" applyFill="1" applyFont="1">
      <alignment horizontal="center" readingOrder="0" vertical="center"/>
    </xf>
    <xf borderId="15" fillId="0" fontId="19" numFmtId="0" xfId="0" applyAlignment="1" applyBorder="1" applyFont="1">
      <alignment horizontal="center" readingOrder="0" vertical="center"/>
    </xf>
    <xf borderId="15" fillId="0" fontId="25" numFmtId="0" xfId="0" applyAlignment="1" applyBorder="1" applyFont="1">
      <alignment horizontal="center" vertical="center"/>
    </xf>
    <xf borderId="15" fillId="0" fontId="25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hyperlink" Target="https://cyan-doll-14.tiiny.site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4.0"/>
    <col customWidth="1" min="2" max="3" width="18.0"/>
    <col customWidth="1" min="4" max="4" width="24.0"/>
    <col customWidth="1" min="5" max="6" width="18.0"/>
    <col customWidth="1" min="7" max="7" width="16.0"/>
    <col customWidth="1" min="8" max="8" width="18.0"/>
    <col customWidth="1" min="9" max="26" width="8.71"/>
  </cols>
  <sheetData>
    <row r="1" ht="36.0" customHeight="1">
      <c r="A1" s="2" t="s">
        <v>1</v>
      </c>
      <c r="B1" s="3"/>
      <c r="C1" s="3"/>
      <c r="D1" s="3"/>
      <c r="E1" s="3"/>
      <c r="F1" s="3"/>
      <c r="G1" s="3"/>
      <c r="H1" s="4"/>
    </row>
    <row r="2" ht="13.5" customHeight="1"/>
    <row r="3" ht="27.75" customHeight="1">
      <c r="A3" s="5" t="s">
        <v>37</v>
      </c>
      <c r="B3" s="6"/>
      <c r="C3" s="12" t="s">
        <v>0</v>
      </c>
      <c r="D3" s="5" t="s">
        <v>40</v>
      </c>
      <c r="E3" s="6"/>
      <c r="F3" s="12" t="s">
        <v>2</v>
      </c>
      <c r="G3" s="17"/>
      <c r="H3" s="6"/>
    </row>
    <row r="4" ht="13.5" customHeight="1"/>
    <row r="5" ht="27.75" customHeight="1">
      <c r="A5" s="18" t="s">
        <v>42</v>
      </c>
      <c r="B5" s="19" t="s">
        <v>43</v>
      </c>
      <c r="C5" s="18" t="s">
        <v>44</v>
      </c>
      <c r="D5" s="18" t="s">
        <v>45</v>
      </c>
      <c r="E5" s="18" t="s">
        <v>46</v>
      </c>
      <c r="F5" s="18" t="s">
        <v>47</v>
      </c>
      <c r="G5" s="18" t="s">
        <v>48</v>
      </c>
      <c r="H5" s="18" t="s">
        <v>49</v>
      </c>
    </row>
    <row r="6" ht="24.0" customHeight="1">
      <c r="A6" s="20" t="s">
        <v>50</v>
      </c>
      <c r="B6" s="26">
        <f>IF(AND($C$3="جميع الأسابيع",$F$3="جميع المجمعات"), 'السيد سالم'!D3, IF($C$3="جميع الأسابيع", COUNTIF('السيد سالم'!$C$13:$C$32,$F$3)+COUNTIF('السيد سالم'!$B$35:$B$70,$F$3), IF($F$3="جميع المجمعات", COUNTIF('السيد سالم'!$A$13:$A$32,$C$3)+COUNTIF('السيد سالم'!$A$35:$A$70,$C$3), COUNTIFS('السيد سالم'!$A$13:$A$32,$C$3,'السيد سالم'!$C$13:$C$32,$F$3)+COUNTIFS('السيد سالم'!$A$35:$A$70,$C$3,'السيد سالم'!$B$35:$B$70,$F$3))))</f>
        <v>19</v>
      </c>
      <c r="C6" s="26">
        <f>IF(AND($C$3="جميع الأسابيع",$F$3="جميع المجمعات"), 'السيد سالم'!D4, IF($C$3="جميع الأسابيع", COUNTIF('السيد سالم'!$C$13:$C$32,$F$3), IF($F$3="جميع المجمعات", COUNTIF('السيد سالم'!$A$13:$A$32,$C$3), COUNTIFS('السيد سالم'!$A$13:$A$32,$C$3,'السيد سالم'!$C$13:$C$32,$F$3))))</f>
        <v>11</v>
      </c>
      <c r="D6" s="26">
        <f>IF(AND($C$3="جميع الأسابيع",$F$3="جميع المجمعات"), 'السيد سالم'!D5, IF($C$3="جميع الأسابيع", COUNTIF('السيد سالم'!$B$35:$B$70,$F$3), IF($F$3="جميع المجمعات", COUNTIF('السيد سالم'!$A$35:$A$70,$C$3), COUNTIFS('السيد سالم'!$A$35:$A$70,$C$3,'السيد سالم'!$B$35:$B$70,$F$3))))</f>
        <v>8</v>
      </c>
      <c r="E6" s="26">
        <f>IF(AND($C$3="جميع الأسابيع",$F$3="جميع المجمعات"), 'السيد سالم'!D6, IF($C$3="جميع الأسابيع", COUNTIFS('السيد سالم'!$B$35:$B$70,$F$3,'السيد سالم'!$G$35:$G$70,"تم الحل"), IF($F$3="جميع المجمعات", COUNTIFS('السيد سالم'!$A$35:$A$70,$C$3,'السيد سالم'!$G$35:$G$70,"تم الحل"), COUNTIFS('السيد سالم'!$A$35:$A$70,$C$3,'السيد سالم'!$B$35:$B$70,$F$3,'السيد سالم'!$G$35:$G$70,"تم الحل"))))</f>
        <v>5</v>
      </c>
      <c r="F6" s="26">
        <f>IF(AND($C$3="جميع الأسابيع",$F$3="جميع المجمعات"), 'السيد سالم'!D7, IF($C$3="جميع الأسابيع", COUNTIFS('السيد سالم'!$B$35:$B$70,$F$3,'السيد سالم'!$G$35:$G$70,"مستمرة"), IF($F$3="جميع المجمعات", COUNTIFS('السيد سالم'!$A$35:$A$70,$C$3,'السيد سالم'!$G$35:$G$70,"مستمرة"), COUNTIFS('السيد سالم'!$A$35:$A$70,$C$3,'السيد سالم'!$B$35:$B$70,$F$3,'السيد سالم'!$G$35:$G$70,"مستمرة"))))</f>
        <v>3</v>
      </c>
      <c r="G6" s="41">
        <f t="shared" ref="G6:G12" si="1">IFERROR(E6/(E6+F6), 0)</f>
        <v>0.625</v>
      </c>
      <c r="H6" s="26" t="str">
        <f t="shared" ref="H6:H11" si="2">IF(B6=0, "لا توجد بيانات", IF(F6=0, "مكتمل ومغلق", "قيد المتابعة"))</f>
        <v>قيد المتابعة</v>
      </c>
    </row>
    <row r="7" ht="24.0" customHeight="1">
      <c r="A7" s="20" t="s">
        <v>117</v>
      </c>
      <c r="B7" s="26">
        <f>IF(AND($C$3="جميع الأسابيع",$F$3="جميع المجمعات"), 'محمد السويركي'!D3, IF($C$3="جميع الأسابيع", COUNTIF('محمد السويركي'!$C$13:$C$32,$F$3)+COUNTIF('محمد السويركي'!$B$35:$B$70,$F$3), IF($F$3="جميع المجمعات", COUNTIF('محمد السويركي'!$A$13:$A$32,$C$3)+COUNTIF('محمد السويركي'!$A$35:$A$70,$C$3), COUNTIFS('محمد السويركي'!$A$13:$A$32,$C$3,'محمد السويركي'!$C$13:$C$32,$F$3)+COUNTIFS('محمد السويركي'!$A$35:$A$70,$C$3,'محمد السويركي'!$B$35:$B$70,$F$3))))</f>
        <v>19</v>
      </c>
      <c r="C7" s="26">
        <f>IF(AND($C$3="جميع الأسابيع",$F$3="جميع المجمعات"), 'محمد السويركي'!D4, IF($C$3="جميع الأسابيع", COUNTIF('محمد السويركي'!$C$13:$C$32,$F$3), IF($F$3="جميع المجمعات", COUNTIF('محمد السويركي'!$A$13:$A$32,$C$3), COUNTIFS('محمد السويركي'!$A$13:$A$32,$C$3,'محمد السويركي'!$C$13:$C$32,$F$3))))</f>
        <v>17</v>
      </c>
      <c r="D7" s="26">
        <f>IF(AND($C$3="جميع الأسابيع",$F$3="جميع المجمعات"), 'محمد السويركي'!D5, IF($C$3="جميع الأسابيع", COUNTIF('محمد السويركي'!$B$35:$B$70,$F$3), IF($F$3="جميع المجمعات", COUNTIF('محمد السويركي'!$A$35:$A$70,$C$3), COUNTIFS('محمد السويركي'!$A$35:$A$70,$C$3,'محمد السويركي'!$B$35:$B$70,$F$3))))</f>
        <v>2</v>
      </c>
      <c r="E7" s="26">
        <f>IF(AND($C$3="جميع الأسابيع",$F$3="جميع المجمعات"), 'محمد السويركي'!D6, IF($C$3="جميع الأسابيع", COUNTIFS('محمد السويركي'!$B$35:$B$70,$F$3,'محمد السويركي'!$G$35:$G$70,"تم الحل"), IF($F$3="جميع المجمعات", COUNTIFS('محمد السويركي'!$A$35:$A$70,$C$3,'محمد السويركي'!$G$35:$G$70,"تم الحل"), COUNTIFS('محمد السويركي'!$A$35:$A$70,$C$3,'محمد السويركي'!$B$35:$B$70,$F$3,'محمد السويركي'!$G$35:$G$70,"تم الحل"))))</f>
        <v>2</v>
      </c>
      <c r="F7" s="26">
        <f>IF(AND($C$3="جميع الأسابيع",$F$3="جميع المجمعات"), 'محمد السويركي'!D7, IF($C$3="جميع الأسابيع", COUNTIFS('محمد السويركي'!$B$35:$B$70,$F$3,'محمد السويركي'!$G$35:$G$70,"مستمرة"), IF($F$3="جميع المجمعات", COUNTIFS('محمد السويركي'!$A$35:$A$70,$C$3,'محمد السويركي'!$G$35:$G$70,"مستمرة"), COUNTIFS('محمد السويركي'!$A$35:$A$70,$C$3,'محمد السويركي'!$B$35:$B$70,$F$3,'محمد السويركي'!$G$35:$G$70,"مستمرة"))))</f>
        <v>0</v>
      </c>
      <c r="G7" s="41">
        <f t="shared" si="1"/>
        <v>1</v>
      </c>
      <c r="H7" s="26" t="str">
        <f t="shared" si="2"/>
        <v>مكتمل ومغلق</v>
      </c>
    </row>
    <row r="8" ht="24.0" customHeight="1">
      <c r="A8" s="20" t="s">
        <v>147</v>
      </c>
      <c r="B8" s="26">
        <f>IF(AND($C$3="جميع الأسابيع",$F$3="جميع المجمعات"), 'خالد عبد ربه'!D3, IF($C$3="جميع الأسابيع", COUNTIF('خالد عبد ربه'!$C$13:$C$32,$F$3)+COUNTIF('خالد عبد ربه'!$B$35:$B$70,$F$3), IF($F$3="جميع المجمعات", COUNTIF('خالد عبد ربه'!$A$13:$A$32,$C$3)+COUNTIF('خالد عبد ربه'!$A$35:$A$70,$C$3), COUNTIFS('خالد عبد ربه'!$A$13:$A$32,$C$3,'خالد عبد ربه'!$C$13:$C$32,$F$3)+COUNTIFS('خالد عبد ربه'!$A$35:$A$70,$C$3,'خالد عبد ربه'!$B$35:$B$70,$F$3))))</f>
        <v>0</v>
      </c>
      <c r="C8" s="26">
        <f>IF(AND($C$3="جميع الأسابيع",$F$3="جميع المجمعات"), 'خالد عبد ربه'!D4, IF($C$3="جميع الأسابيع", COUNTIF('خالد عبد ربه'!$C$13:$C$32,$F$3), IF($F$3="جميع المجمعات", COUNTIF('خالد عبد ربه'!$A$13:$A$32,$C$3), COUNTIFS('خالد عبد ربه'!$A$13:$A$32,$C$3,'خالد عبد ربه'!$C$13:$C$32,$F$3))))</f>
        <v>0</v>
      </c>
      <c r="D8" s="26">
        <f>IF(AND($C$3="جميع الأسابيع",$F$3="جميع المجمعات"), 'خالد عبد ربه'!D5, IF($C$3="جميع الأسابيع", COUNTIF('خالد عبد ربه'!$B$35:$B$70,$F$3), IF($F$3="جميع المجمعات", COUNTIF('خالد عبد ربه'!$A$35:$A$70,$C$3), COUNTIFS('خالد عبد ربه'!$A$35:$A$70,$C$3,'خالد عبد ربه'!$B$35:$B$70,$F$3))))</f>
        <v>0</v>
      </c>
      <c r="E8" s="26">
        <f>IF(AND($C$3="جميع الأسابيع",$F$3="جميع المجمعات"), 'خالد عبد ربه'!D6, IF($C$3="جميع الأسابيع", COUNTIFS('خالد عبد ربه'!$B$35:$B$70,$F$3,'خالد عبد ربه'!$G$35:$G$70,"تم الحل"), IF($F$3="جميع المجمعات", COUNTIFS('خالد عبد ربه'!$A$35:$A$70,$C$3,'خالد عبد ربه'!$G$35:$G$70,"تم الحل"), COUNTIFS('خالد عبد ربه'!$A$35:$A$70,$C$3,'خالد عبد ربه'!$B$35:$B$70,$F$3,'خالد عبد ربه'!$G$35:$G$70,"تم الحل"))))</f>
        <v>0</v>
      </c>
      <c r="F8" s="26">
        <f>IF(AND($C$3="جميع الأسابيع",$F$3="جميع المجمعات"), 'خالد عبد ربه'!D7, IF($C$3="جميع الأسابيع", COUNTIFS('خالد عبد ربه'!$B$35:$B$70,$F$3,'خالد عبد ربه'!$G$35:$G$70,"مستمرة"), IF($F$3="جميع المجمعات", COUNTIFS('خالد عبد ربه'!$A$35:$A$70,$C$3,'خالد عبد ربه'!$G$35:$G$70,"مستمرة"), COUNTIFS('خالد عبد ربه'!$A$35:$A$70,$C$3,'خالد عبد ربه'!$B$35:$B$70,$F$3,'خالد عبد ربه'!$G$35:$G$70,"مستمرة"))))</f>
        <v>0</v>
      </c>
      <c r="G8" s="41">
        <f t="shared" si="1"/>
        <v>0</v>
      </c>
      <c r="H8" s="26" t="str">
        <f t="shared" si="2"/>
        <v>لا توجد بيانات</v>
      </c>
    </row>
    <row r="9" ht="24.0" customHeight="1">
      <c r="A9" s="20" t="s">
        <v>148</v>
      </c>
      <c r="B9" s="26">
        <f>IF(AND($C$3="جميع الأسابيع",$F$3="جميع المجمعات"), 'ناريمان الحجاجرة'!D3, IF($C$3="جميع الأسابيع", COUNTIF('ناريمان الحجاجرة'!$C$13:$C$32,$F$3)+COUNTIF('ناريمان الحجاجرة'!$B$35:$B$70,$F$3), IF($F$3="جميع المجمعات", COUNTIF('ناريمان الحجاجرة'!$A$13:$A$32,$C$3)+COUNTIF('ناريمان الحجاجرة'!$A$35:$A$70,$C$3), COUNTIFS('ناريمان الحجاجرة'!$A$13:$A$32,$C$3,'ناريمان الحجاجرة'!$C$13:$C$32,$F$3)+COUNTIFS('ناريمان الحجاجرة'!$A$35:$A$70,$C$3,'ناريمان الحجاجرة'!$B$35:$B$70,$F$3))))</f>
        <v>17</v>
      </c>
      <c r="C9" s="26">
        <f>IF(AND($C$3="جميع الأسابيع",$F$3="جميع المجمعات"), 'ناريمان الحجاجرة'!D4, IF($C$3="جميع الأسابيع", COUNTIF('ناريمان الحجاجرة'!$C$13:$C$32,$F$3), IF($F$3="جميع المجمعات", COUNTIF('ناريمان الحجاجرة'!$A$13:$A$32,$C$3), COUNTIFS('ناريمان الحجاجرة'!$A$13:$A$32,$C$3,'ناريمان الحجاجرة'!$C$13:$C$32,$F$3))))</f>
        <v>12</v>
      </c>
      <c r="D9" s="26">
        <f>IF(AND($C$3="جميع الأسابيع",$F$3="جميع المجمعات"), 'ناريمان الحجاجرة'!D5, IF($C$3="جميع الأسابيع", COUNTIF('ناريمان الحجاجرة'!$B$35:$B$70,$F$3), IF($F$3="جميع المجمعات", COUNTIF('ناريمان الحجاجرة'!$A$35:$A$70,$C$3), COUNTIFS('ناريمان الحجاجرة'!$A$35:$A$70,$C$3,'ناريمان الحجاجرة'!$B$35:$B$70,$F$3))))</f>
        <v>5</v>
      </c>
      <c r="E9" s="26">
        <f>IF(AND($C$3="جميع الأسابيع",$F$3="جميع المجمعات"), 'ناريمان الحجاجرة'!D6, IF($C$3="جميع الأسابيع", COUNTIFS('ناريمان الحجاجرة'!$B$35:$B$70,$F$3,'ناريمان الحجاجرة'!$G$35:$G$70,"تم الحل"), IF($F$3="جميع المجمعات", COUNTIFS('ناريمان الحجاجرة'!$A$35:$A$70,$C$3,'ناريمان الحجاجرة'!$G$35:$G$70,"تم الحل"), COUNTIFS('ناريمان الحجاجرة'!$A$35:$A$70,$C$3,'ناريمان الحجاجرة'!$B$35:$B$70,$F$3,'ناريمان الحجاجرة'!$G$35:$G$70,"تم الحل"))))</f>
        <v>0</v>
      </c>
      <c r="F9" s="26">
        <f>IF(AND($C$3="جميع الأسابيع",$F$3="جميع المجمعات"), 'ناريمان الحجاجرة'!D7, IF($C$3="جميع الأسابيع", COUNTIFS('ناريمان الحجاجرة'!$B$35:$B$70,$F$3,'ناريمان الحجاجرة'!$G$35:$G$70,"مستمرة"), IF($F$3="جميع المجمعات", COUNTIFS('ناريمان الحجاجرة'!$A$35:$A$70,$C$3,'ناريمان الحجاجرة'!$G$35:$G$70,"مستمرة"), COUNTIFS('ناريمان الحجاجرة'!$A$35:$A$70,$C$3,'ناريمان الحجاجرة'!$B$35:$B$70,$F$3,'ناريمان الحجاجرة'!$G$35:$G$70,"مستمرة"))))</f>
        <v>0</v>
      </c>
      <c r="G9" s="41">
        <f t="shared" si="1"/>
        <v>0</v>
      </c>
      <c r="H9" s="26" t="str">
        <f t="shared" si="2"/>
        <v>مكتمل ومغلق</v>
      </c>
    </row>
    <row r="10" ht="24.0" customHeight="1">
      <c r="A10" s="20" t="s">
        <v>149</v>
      </c>
      <c r="B10" s="26">
        <f>IF(AND($C$3="جميع الأسابيع",$F$3="جميع المجمعات"), 'مروة حسان'!D3, IF($C$3="جميع الأسابيع", COUNTIF('مروة حسان'!$C$13:$C$32,$F$3)+COUNTIF('مروة حسان'!$B$35:$B$70,$F$3), IF($F$3="جميع المجمعات", COUNTIF('مروة حسان'!$A$13:$A$32,$C$3)+COUNTIF('مروة حسان'!$A$35:$A$70,$C$3), COUNTIFS('مروة حسان'!$A$13:$A$32,$C$3,'مروة حسان'!$C$13:$C$32,$F$3)+COUNTIFS('مروة حسان'!$A$35:$A$70,$C$3,'مروة حسان'!$B$35:$B$70,$F$3))))</f>
        <v>23</v>
      </c>
      <c r="C10" s="26">
        <f>IF(AND($C$3="جميع الأسابيع",$F$3="جميع المجمعات"), 'مروة حسان'!D4, IF($C$3="جميع الأسابيع", COUNTIF('مروة حسان'!$C$13:$C$32,$F$3), IF($F$3="جميع المجمعات", COUNTIF('مروة حسان'!$A$13:$A$32,$C$3), COUNTIFS('مروة حسان'!$A$13:$A$32,$C$3,'مروة حسان'!$C$13:$C$32,$F$3))))</f>
        <v>15</v>
      </c>
      <c r="D10" s="26">
        <f>IF(AND($C$3="جميع الأسابيع",$F$3="جميع المجمعات"), 'مروة حسان'!D5, IF($C$3="جميع الأسابيع", COUNTIF('مروة حسان'!$B$35:$B$70,$F$3), IF($F$3="جميع المجمعات", COUNTIF('مروة حسان'!$A$35:$A$70,$C$3), COUNTIFS('مروة حسان'!$A$35:$A$70,$C$3,'مروة حسان'!$B$35:$B$70,$F$3))))</f>
        <v>8</v>
      </c>
      <c r="E10" s="26">
        <f>IF(AND($C$3="جميع الأسابيع",$F$3="جميع المجمعات"), 'مروة حسان'!D6, IF($C$3="جميع الأسابيع", COUNTIFS('مروة حسان'!$B$35:$B$70,$F$3,'مروة حسان'!$G$35:$G$70,"تم الحل"), IF($F$3="جميع المجمعات", COUNTIFS('مروة حسان'!$A$35:$A$70,$C$3,'مروة حسان'!$G$35:$G$70,"تم الحل"), COUNTIFS('مروة حسان'!$A$35:$A$70,$C$3,'مروة حسان'!$B$35:$B$70,$F$3,'مروة حسان'!$G$35:$G$70,"تم الحل"))))</f>
        <v>8</v>
      </c>
      <c r="F10" s="26">
        <f>IF(AND($C$3="جميع الأسابيع",$F$3="جميع المجمعات"), 'مروة حسان'!D7, IF($C$3="جميع الأسابيع", COUNTIFS('مروة حسان'!$B$35:$B$70,$F$3,'مروة حسان'!$G$35:$G$70,"مستمرة"), IF($F$3="جميع المجمعات", COUNTIFS('مروة حسان'!$A$35:$A$70,$C$3,'مروة حسان'!$G$35:$G$70,"مستمرة"), COUNTIFS('مروة حسان'!$A$35:$A$70,$C$3,'مروة حسان'!$B$35:$B$70,$F$3,'مروة حسان'!$G$35:$G$70,"مستمرة"))))</f>
        <v>0</v>
      </c>
      <c r="G10" s="41">
        <f t="shared" si="1"/>
        <v>1</v>
      </c>
      <c r="H10" s="26" t="str">
        <f t="shared" si="2"/>
        <v>مكتمل ومغلق</v>
      </c>
    </row>
    <row r="11" ht="24.0" customHeight="1">
      <c r="A11" s="20" t="s">
        <v>153</v>
      </c>
      <c r="B11" s="26">
        <f>IF(AND($C$3="جميع الأسابيع",$F$3="جميع المجمعات"), 'إيمان المبارك'!D3, IF($C$3="جميع الأسابيع", COUNTIF('إيمان المبارك'!$C$13:$C$32,$F$3)+COUNTIF('إيمان المبارك'!$B$35:$B$70,$F$3), IF($F$3="جميع المجمعات", COUNTIF('إيمان المبارك'!$A$13:$A$32,$C$3)+COUNTIF('إيمان المبارك'!$A$35:$A$70,$C$3), COUNTIFS('إيمان المبارك'!$A$13:$A$32,$C$3,'إيمان المبارك'!$C$13:$C$32,$F$3)+COUNTIFS('إيمان المبارك'!$A$35:$A$70,$C$3,'إيمان المبارك'!$B$35:$B$70,$F$3))))</f>
        <v>0</v>
      </c>
      <c r="C11" s="26">
        <f>IF(AND($C$3="جميع الأسابيع",$F$3="جميع المجمعات"), 'إيمان المبارك'!D4, IF($C$3="جميع الأسابيع", COUNTIF('إيمان المبارك'!$C$13:$C$32,$F$3), IF($F$3="جميع المجمعات", COUNTIF('إيمان المبارك'!$A$13:$A$32,$C$3), COUNTIFS('إيمان المبارك'!$A$13:$A$32,$C$3,'إيمان المبارك'!$C$13:$C$32,$F$3))))</f>
        <v>0</v>
      </c>
      <c r="D11" s="26">
        <f>IF(AND($C$3="جميع الأسابيع",$F$3="جميع المجمعات"), 'إيمان المبارك'!D5, IF($C$3="جميع الأسابيع", COUNTIF('إيمان المبارك'!$B$35:$B$70,$F$3), IF($F$3="جميع المجمعات", COUNTIF('إيمان المبارك'!$A$35:$A$70,$C$3), COUNTIFS('إيمان المبارك'!$A$35:$A$70,$C$3,'إيمان المبارك'!$B$35:$B$70,$F$3))))</f>
        <v>0</v>
      </c>
      <c r="E11" s="26">
        <f>IF(AND($C$3="جميع الأسابيع",$F$3="جميع المجمعات"), 'إيمان المبارك'!D6, IF($C$3="جميع الأسابيع", COUNTIFS('إيمان المبارك'!$B$35:$B$70,$F$3,'إيمان المبارك'!$G$35:$G$70,"تم الحل"), IF($F$3="جميع المجمعات", COUNTIFS('إيمان المبارك'!$A$35:$A$70,$C$3,'إيمان المبارك'!$G$35:$G$70,"تم الحل"), COUNTIFS('إيمان المبارك'!$A$35:$A$70,$C$3,'إيمان المبارك'!$B$35:$B$70,$F$3,'إيمان المبارك'!$G$35:$G$70,"تم الحل"))))</f>
        <v>0</v>
      </c>
      <c r="F11" s="26">
        <f>IF(AND($C$3="جميع الأسابيع",$F$3="جميع المجمعات"), 'إيمان المبارك'!D7, IF($C$3="جميع الأسابيع", COUNTIFS('إيمان المبارك'!$B$35:$B$70,$F$3,'إيمان المبارك'!$G$35:$G$70,"مستمرة"), IF($F$3="جميع المجمعات", COUNTIFS('إيمان المبارك'!$A$35:$A$70,$C$3,'إيمان المبارك'!$G$35:$G$70,"مستمرة"), COUNTIFS('إيمان المبارك'!$A$35:$A$70,$C$3,'إيمان المبارك'!$B$35:$B$70,$F$3,'إيمان المبارك'!$G$35:$G$70,"مستمرة"))))</f>
        <v>0</v>
      </c>
      <c r="G11" s="41">
        <f t="shared" si="1"/>
        <v>0</v>
      </c>
      <c r="H11" s="26" t="str">
        <f t="shared" si="2"/>
        <v>لا توجد بيانات</v>
      </c>
    </row>
    <row r="12" ht="25.5" customHeight="1">
      <c r="A12" s="53" t="s">
        <v>187</v>
      </c>
      <c r="B12" s="54">
        <f t="shared" ref="B12:F12" si="3">SUM(B6:B11)</f>
        <v>78</v>
      </c>
      <c r="C12" s="54">
        <f t="shared" si="3"/>
        <v>55</v>
      </c>
      <c r="D12" s="54">
        <f t="shared" si="3"/>
        <v>23</v>
      </c>
      <c r="E12" s="54">
        <f t="shared" si="3"/>
        <v>15</v>
      </c>
      <c r="F12" s="54">
        <f t="shared" si="3"/>
        <v>3</v>
      </c>
      <c r="G12" s="57">
        <f t="shared" si="1"/>
        <v>0.8333333333</v>
      </c>
      <c r="H12" s="59" t="s">
        <v>197</v>
      </c>
    </row>
    <row r="13" ht="13.5" customHeight="1"/>
    <row r="14" ht="27.75" customHeight="1">
      <c r="A14" s="60" t="s">
        <v>201</v>
      </c>
      <c r="B14" s="3"/>
      <c r="C14" s="3"/>
      <c r="D14" s="3"/>
      <c r="E14" s="3"/>
      <c r="F14" s="3"/>
      <c r="G14" s="3"/>
      <c r="H14" s="4"/>
    </row>
    <row r="15" ht="25.5" customHeight="1">
      <c r="A15" s="18" t="s">
        <v>205</v>
      </c>
      <c r="B15" s="19" t="s">
        <v>43</v>
      </c>
      <c r="C15" s="18" t="s">
        <v>44</v>
      </c>
      <c r="D15" s="18" t="s">
        <v>45</v>
      </c>
      <c r="E15" s="18" t="s">
        <v>46</v>
      </c>
      <c r="F15" s="18" t="s">
        <v>47</v>
      </c>
      <c r="G15" s="18" t="s">
        <v>48</v>
      </c>
      <c r="H15" s="18" t="s">
        <v>207</v>
      </c>
    </row>
    <row r="16" ht="21.75" customHeight="1">
      <c r="A16" s="61" t="s">
        <v>5</v>
      </c>
      <c r="B16" s="26">
        <f t="shared" ref="B16:B26" si="4">C16+D16</f>
        <v>11</v>
      </c>
      <c r="C16" s="26">
        <f>IF($C$3="جميع الأسابيع", COUNTIF('السيد سالم'!$C$13:$C$32, $A16)+COUNTIF('محمد السويركي'!$C$13:$C$32, $A16)+COUNTIF('خالد عبد ربه'!$C$13:$C$32, $A16)+COUNTIF('ناريمان الحجاجرة'!$C$13:$C$32, $A16)+COUNTIF('مروة حسان'!$C$13:$C$32, $A16)+COUNTIF('إيمان المبارك'!$C$13:$C$32, $A16), COUNTIFS('السيد سالم'!$C$13:$C$32, $A16, 'السيد سالم'!$A$13:$A$32, $C$3)+COUNTIFS('محمد السويركي'!$C$13:$C$32, $A16, 'محمد السويركي'!$A$13:$A$32, $C$3)+COUNTIFS('خالد عبد ربه'!$C$13:$C$32, $A16, 'خالد عبد ربه'!$A$13:$A$32, $C$3)+COUNTIFS('ناريمان الحجاجرة'!$C$13:$C$32, $A16, 'ناريمان الحجاجرة'!$A$13:$A$32, $C$3)+COUNTIFS('مروة حسان'!$C$13:$C$32, $A16, 'مروة حسان'!$A$13:$A$32, $C$3)+COUNTIFS('إيمان المبارك'!$C$13:$C$32, $A16, 'إيمان المبارك'!$A$13:$A$32, $C$3))</f>
        <v>6</v>
      </c>
      <c r="D16" s="26">
        <f>IF($C$3="جميع الأسابيع", COUNTIF('السيد سالم'!$B$35:$B$70, $A16)+COUNTIF('محمد السويركي'!$B$35:$B$70, $A16)+COUNTIF('خالد عبد ربه'!$B$35:$B$70, $A16)+COUNTIF('ناريمان الحجاجرة'!$B$35:$B$70, $A16)+COUNTIF('مروة حسان'!$B$35:$B$70, $A16)+COUNTIF('إيمان المبارك'!$B$35:$B$70, $A16), COUNTIFS('السيد سالم'!$B$35:$B$70, $A16, 'السيد سالم'!$A$35:$A$70, $C$3)+COUNTIFS('محمد السويركي'!$B$35:$B$70, $A16, 'محمد السويركي'!$A$35:$A$70, $C$3)+COUNTIFS('خالد عبد ربه'!$B$35:$B$70, $A16, 'خالد عبد ربه'!$A$35:$A$70, $C$3)+COUNTIFS('ناريمان الحجاجرة'!$B$35:$B$70, $A16, 'ناريمان الحجاجرة'!$A$35:$A$70, $C$3)+COUNTIFS('مروة حسان'!$B$35:$B$70, $A16, 'مروة حسان'!$A$35:$A$70, $C$3)+COUNTIFS('إيمان المبارك'!$B$35:$B$70, $A16, 'إيمان المبارك'!$A$35:$A$70, $C$3))</f>
        <v>5</v>
      </c>
      <c r="E16" s="26">
        <f>IF($C$3="جميع الأسابيع", COUNTIFS('السيد سالم'!$B$35:$B$70, $A16, 'السيد سالم'!$G$35:$G$70, "تم الحل")+COUNTIFS('محمد السويركي'!$B$35:$B$70, $A16, 'محمد السويركي'!$G$35:$G$70, "تم الحل")+COUNTIFS('خالد عبد ربه'!$B$35:$B$70, $A16, 'خالد عبد ربه'!$G$35:$G$70, "تم الحل")+COUNTIFS('ناريمان الحجاجرة'!$B$35:$B$70, $A16, 'ناريمان الحجاجرة'!$G$35:$G$70, "تم الحل")+COUNTIFS('مروة حسان'!$B$35:$B$70, $A16, 'مروة حسان'!$G$35:$G$70, "تم الحل")+COUNTIFS('إيمان المبارك'!$B$35:$B$70, $A16, 'إيمان المبارك'!$G$35:$G$70, "تم الحل"), COUNTIFS('السيد سالم'!$B$35:$B$70, $A16, 'السيد سالم'!$A$35:$A$70, $C$3, 'السيد سالم'!$G$35:$G$70, "تم الحل")+COUNTIFS('محمد السويركي'!$B$35:$B$70, $A16, 'محمد السويركي'!$A$35:$A$70, $C$3, 'محمد السويركي'!$G$35:$G$70, "تم الحل")+COUNTIFS('خالد عبد ربه'!$B$35:$B$70, $A16, 'خالد عبد ربه'!$A$35:$A$70, $C$3, 'خالد عبد ربه'!$G$35:$G$70, "تم الحل")+COUNTIFS('ناريمان الحجاجرة'!$B$35:$B$70, $A16, 'ناريمان الحجاجرة'!$A$35:$A$70, $C$3, 'ناريمان الحجاجرة'!$G$35:$G$70, "تم الحل")+COUNTIFS('مروة حسان'!$B$35:$B$70, $A16, 'مروة حسان'!$A$35:$A$70, $C$3, 'مروة حسان'!$G$35:$G$70, "تم الحل")+COUNTIFS('إيمان المبارك'!$B$35:$B$70, $A16, 'إيمان المبارك'!$A$35:$A$70, $C$3, 'إيمان المبارك'!$G$35:$G$70, "تم الحل"))</f>
        <v>4</v>
      </c>
      <c r="F16" s="26">
        <f>IF($C$3="جميع الأسابيع", COUNTIFS('السيد سالم'!$B$35:$B$70, $A16, 'السيد سالم'!$G$35:$G$70, "مستمرة")+COUNTIFS('محمد السويركي'!$B$35:$B$70, $A16, 'محمد السويركي'!$G$35:$G$70, "مستمرة")+COUNTIFS('خالد عبد ربه'!$B$35:$B$70, $A16, 'خالد عبد ربه'!$G$35:$G$70, "مستمرة")+COUNTIFS('ناريمان الحجاجرة'!$B$35:$B$70, $A16, 'ناريمان الحجاجرة'!$G$35:$G$70, "مستمرة")+COUNTIFS('مروة حسان'!$B$35:$B$70, $A16, 'مروة حسان'!$G$35:$G$70, "مستمرة")+COUNTIFS('إيمان المبارك'!$B$35:$B$70, $A16, 'إيمان المبارك'!$G$35:$G$70, "مستمرة"), COUNTIFS('السيد سالم'!$B$35:$B$70, $A16, 'السيد سالم'!$A$35:$A$70, $C$3, 'السيد سالم'!$G$35:$G$70, "مستمرة")+COUNTIFS('محمد السويركي'!$B$35:$B$70, $A16, 'محمد السويركي'!$A$35:$A$70, $C$3, 'محمد السويركي'!$G$35:$G$70, "مستمرة")+COUNTIFS('خالد عبد ربه'!$B$35:$B$70, $A16, 'خالد عبد ربه'!$A$35:$A$70, $C$3, 'خالد عبد ربه'!$G$35:$G$70, "مستمرة")+COUNTIFS('ناريمان الحجاجرة'!$B$35:$B$70, $A16, 'ناريمان الحجاجرة'!$A$35:$A$70, $C$3, 'ناريمان الحجاجرة'!$G$35:$G$70, "مستمرة")+COUNTIFS('مروة حسان'!$B$35:$B$70, $A16, 'مروة حسان'!$A$35:$A$70, $C$3, 'مروة حسان'!$G$35:$G$70, "مستمرة")+COUNTIFS('إيمان المبارك'!$B$35:$B$70, $A16, 'إيمان المبارك'!$A$35:$A$70, $C$3, 'إيمان المبارك'!$G$35:$G$70, "مستمرة"))</f>
        <v>1</v>
      </c>
      <c r="G16" s="41">
        <f t="shared" ref="G16:G27" si="5">IFERROR(E16/(E16+F16), 0)</f>
        <v>0.8</v>
      </c>
      <c r="H16" s="26" t="str">
        <f t="shared" ref="H16:H26" si="6">IF(D16=0, "لا توجد ملاحظات", IF(F16=0, "تم إغلاق الملاحظات", "يوجد ملاحظات مستمرة"))</f>
        <v>يوجد ملاحظات مستمرة</v>
      </c>
    </row>
    <row r="17" ht="21.75" customHeight="1">
      <c r="A17" s="61" t="s">
        <v>8</v>
      </c>
      <c r="B17" s="26">
        <f t="shared" si="4"/>
        <v>2</v>
      </c>
      <c r="C17" s="26">
        <f>IF($C$3="جميع الأسابيع", COUNTIF('السيد سالم'!$C$13:$C$32, $A17)+COUNTIF('محمد السويركي'!$C$13:$C$32, $A17)+COUNTIF('خالد عبد ربه'!$C$13:$C$32, $A17)+COUNTIF('ناريمان الحجاجرة'!$C$13:$C$32, $A17)+COUNTIF('مروة حسان'!$C$13:$C$32, $A17)+COUNTIF('إيمان المبارك'!$C$13:$C$32, $A17), COUNTIFS('السيد سالم'!$C$13:$C$32, $A17, 'السيد سالم'!$A$13:$A$32, $C$3)+COUNTIFS('محمد السويركي'!$C$13:$C$32, $A17, 'محمد السويركي'!$A$13:$A$32, $C$3)+COUNTIFS('خالد عبد ربه'!$C$13:$C$32, $A17, 'خالد عبد ربه'!$A$13:$A$32, $C$3)+COUNTIFS('ناريمان الحجاجرة'!$C$13:$C$32, $A17, 'ناريمان الحجاجرة'!$A$13:$A$32, $C$3)+COUNTIFS('مروة حسان'!$C$13:$C$32, $A17, 'مروة حسان'!$A$13:$A$32, $C$3)+COUNTIFS('إيمان المبارك'!$C$13:$C$32, $A17, 'إيمان المبارك'!$A$13:$A$32, $C$3))</f>
        <v>2</v>
      </c>
      <c r="D17" s="26">
        <f>IF($C$3="جميع الأسابيع", COUNTIF('السيد سالم'!$B$35:$B$70, $A17)+COUNTIF('محمد السويركي'!$B$35:$B$70, $A17)+COUNTIF('خالد عبد ربه'!$B$35:$B$70, $A17)+COUNTIF('ناريمان الحجاجرة'!$B$35:$B$70, $A17)+COUNTIF('مروة حسان'!$B$35:$B$70, $A17)+COUNTIF('إيمان المبارك'!$B$35:$B$70, $A17), COUNTIFS('السيد سالم'!$B$35:$B$70, $A17, 'السيد سالم'!$A$35:$A$70, $C$3)+COUNTIFS('محمد السويركي'!$B$35:$B$70, $A17, 'محمد السويركي'!$A$35:$A$70, $C$3)+COUNTIFS('خالد عبد ربه'!$B$35:$B$70, $A17, 'خالد عبد ربه'!$A$35:$A$70, $C$3)+COUNTIFS('ناريمان الحجاجرة'!$B$35:$B$70, $A17, 'ناريمان الحجاجرة'!$A$35:$A$70, $C$3)+COUNTIFS('مروة حسان'!$B$35:$B$70, $A17, 'مروة حسان'!$A$35:$A$70, $C$3)+COUNTIFS('إيمان المبارك'!$B$35:$B$70, $A17, 'إيمان المبارك'!$A$35:$A$70, $C$3))</f>
        <v>0</v>
      </c>
      <c r="E17" s="26">
        <f>IF($C$3="جميع الأسابيع", COUNTIFS('السيد سالم'!$B$35:$B$70, $A17, 'السيد سالم'!$G$35:$G$70, "تم الحل")+COUNTIFS('محمد السويركي'!$B$35:$B$70, $A17, 'محمد السويركي'!$G$35:$G$70, "تم الحل")+COUNTIFS('خالد عبد ربه'!$B$35:$B$70, $A17, 'خالد عبد ربه'!$G$35:$G$70, "تم الحل")+COUNTIFS('ناريمان الحجاجرة'!$B$35:$B$70, $A17, 'ناريمان الحجاجرة'!$G$35:$G$70, "تم الحل")+COUNTIFS('مروة حسان'!$B$35:$B$70, $A17, 'مروة حسان'!$G$35:$G$70, "تم الحل")+COUNTIFS('إيمان المبارك'!$B$35:$B$70, $A17, 'إيمان المبارك'!$G$35:$G$70, "تم الحل"), COUNTIFS('السيد سالم'!$B$35:$B$70, $A17, 'السيد سالم'!$A$35:$A$70, $C$3, 'السيد سالم'!$G$35:$G$70, "تم الحل")+COUNTIFS('محمد السويركي'!$B$35:$B$70, $A17, 'محمد السويركي'!$A$35:$A$70, $C$3, 'محمد السويركي'!$G$35:$G$70, "تم الحل")+COUNTIFS('خالد عبد ربه'!$B$35:$B$70, $A17, 'خالد عبد ربه'!$A$35:$A$70, $C$3, 'خالد عبد ربه'!$G$35:$G$70, "تم الحل")+COUNTIFS('ناريمان الحجاجرة'!$B$35:$B$70, $A17, 'ناريمان الحجاجرة'!$A$35:$A$70, $C$3, 'ناريمان الحجاجرة'!$G$35:$G$70, "تم الحل")+COUNTIFS('مروة حسان'!$B$35:$B$70, $A17, 'مروة حسان'!$A$35:$A$70, $C$3, 'مروة حسان'!$G$35:$G$70, "تم الحل")+COUNTIFS('إيمان المبارك'!$B$35:$B$70, $A17, 'إيمان المبارك'!$A$35:$A$70, $C$3, 'إيمان المبارك'!$G$35:$G$70, "تم الحل"))</f>
        <v>0</v>
      </c>
      <c r="F17" s="26">
        <f>IF($C$3="جميع الأسابيع", COUNTIFS('السيد سالم'!$B$35:$B$70, $A17, 'السيد سالم'!$G$35:$G$70, "مستمرة")+COUNTIFS('محمد السويركي'!$B$35:$B$70, $A17, 'محمد السويركي'!$G$35:$G$70, "مستمرة")+COUNTIFS('خالد عبد ربه'!$B$35:$B$70, $A17, 'خالد عبد ربه'!$G$35:$G$70, "مستمرة")+COUNTIFS('ناريمان الحجاجرة'!$B$35:$B$70, $A17, 'ناريمان الحجاجرة'!$G$35:$G$70, "مستمرة")+COUNTIFS('مروة حسان'!$B$35:$B$70, $A17, 'مروة حسان'!$G$35:$G$70, "مستمرة")+COUNTIFS('إيمان المبارك'!$B$35:$B$70, $A17, 'إيمان المبارك'!$G$35:$G$70, "مستمرة"), COUNTIFS('السيد سالم'!$B$35:$B$70, $A17, 'السيد سالم'!$A$35:$A$70, $C$3, 'السيد سالم'!$G$35:$G$70, "مستمرة")+COUNTIFS('محمد السويركي'!$B$35:$B$70, $A17, 'محمد السويركي'!$A$35:$A$70, $C$3, 'محمد السويركي'!$G$35:$G$70, "مستمرة")+COUNTIFS('خالد عبد ربه'!$B$35:$B$70, $A17, 'خالد عبد ربه'!$A$35:$A$70, $C$3, 'خالد عبد ربه'!$G$35:$G$70, "مستمرة")+COUNTIFS('ناريمان الحجاجرة'!$B$35:$B$70, $A17, 'ناريمان الحجاجرة'!$A$35:$A$70, $C$3, 'ناريمان الحجاجرة'!$G$35:$G$70, "مستمرة")+COUNTIFS('مروة حسان'!$B$35:$B$70, $A17, 'مروة حسان'!$A$35:$A$70, $C$3, 'مروة حسان'!$G$35:$G$70, "مستمرة")+COUNTIFS('إيمان المبارك'!$B$35:$B$70, $A17, 'إيمان المبارك'!$A$35:$A$70, $C$3, 'إيمان المبارك'!$G$35:$G$70, "مستمرة"))</f>
        <v>0</v>
      </c>
      <c r="G17" s="41">
        <f t="shared" si="5"/>
        <v>0</v>
      </c>
      <c r="H17" s="26" t="str">
        <f t="shared" si="6"/>
        <v>لا توجد ملاحظات</v>
      </c>
    </row>
    <row r="18" ht="21.75" customHeight="1">
      <c r="A18" s="61" t="s">
        <v>11</v>
      </c>
      <c r="B18" s="26">
        <f t="shared" si="4"/>
        <v>6</v>
      </c>
      <c r="C18" s="26">
        <f>IF($C$3="جميع الأسابيع", COUNTIF('السيد سالم'!$C$13:$C$32, $A18)+COUNTIF('محمد السويركي'!$C$13:$C$32, $A18)+COUNTIF('خالد عبد ربه'!$C$13:$C$32, $A18)+COUNTIF('ناريمان الحجاجرة'!$C$13:$C$32, $A18)+COUNTIF('مروة حسان'!$C$13:$C$32, $A18)+COUNTIF('إيمان المبارك'!$C$13:$C$32, $A18), COUNTIFS('السيد سالم'!$C$13:$C$32, $A18, 'السيد سالم'!$A$13:$A$32, $C$3)+COUNTIFS('محمد السويركي'!$C$13:$C$32, $A18, 'محمد السويركي'!$A$13:$A$32, $C$3)+COUNTIFS('خالد عبد ربه'!$C$13:$C$32, $A18, 'خالد عبد ربه'!$A$13:$A$32, $C$3)+COUNTIFS('ناريمان الحجاجرة'!$C$13:$C$32, $A18, 'ناريمان الحجاجرة'!$A$13:$A$32, $C$3)+COUNTIFS('مروة حسان'!$C$13:$C$32, $A18, 'مروة حسان'!$A$13:$A$32, $C$3)+COUNTIFS('إيمان المبارك'!$C$13:$C$32, $A18, 'إيمان المبارك'!$A$13:$A$32, $C$3))</f>
        <v>3</v>
      </c>
      <c r="D18" s="26">
        <f>IF($C$3="جميع الأسابيع", COUNTIF('السيد سالم'!$B$35:$B$70, $A18)+COUNTIF('محمد السويركي'!$B$35:$B$70, $A18)+COUNTIF('خالد عبد ربه'!$B$35:$B$70, $A18)+COUNTIF('ناريمان الحجاجرة'!$B$35:$B$70, $A18)+COUNTIF('مروة حسان'!$B$35:$B$70, $A18)+COUNTIF('إيمان المبارك'!$B$35:$B$70, $A18), COUNTIFS('السيد سالم'!$B$35:$B$70, $A18, 'السيد سالم'!$A$35:$A$70, $C$3)+COUNTIFS('محمد السويركي'!$B$35:$B$70, $A18, 'محمد السويركي'!$A$35:$A$70, $C$3)+COUNTIFS('خالد عبد ربه'!$B$35:$B$70, $A18, 'خالد عبد ربه'!$A$35:$A$70, $C$3)+COUNTIFS('ناريمان الحجاجرة'!$B$35:$B$70, $A18, 'ناريمان الحجاجرة'!$A$35:$A$70, $C$3)+COUNTIFS('مروة حسان'!$B$35:$B$70, $A18, 'مروة حسان'!$A$35:$A$70, $C$3)+COUNTIFS('إيمان المبارك'!$B$35:$B$70, $A18, 'إيمان المبارك'!$A$35:$A$70, $C$3))</f>
        <v>3</v>
      </c>
      <c r="E18" s="26">
        <f>IF($C$3="جميع الأسابيع", COUNTIFS('السيد سالم'!$B$35:$B$70, $A18, 'السيد سالم'!$G$35:$G$70, "تم الحل")+COUNTIFS('محمد السويركي'!$B$35:$B$70, $A18, 'محمد السويركي'!$G$35:$G$70, "تم الحل")+COUNTIFS('خالد عبد ربه'!$B$35:$B$70, $A18, 'خالد عبد ربه'!$G$35:$G$70, "تم الحل")+COUNTIFS('ناريمان الحجاجرة'!$B$35:$B$70, $A18, 'ناريمان الحجاجرة'!$G$35:$G$70, "تم الحل")+COUNTIFS('مروة حسان'!$B$35:$B$70, $A18, 'مروة حسان'!$G$35:$G$70, "تم الحل")+COUNTIFS('إيمان المبارك'!$B$35:$B$70, $A18, 'إيمان المبارك'!$G$35:$G$70, "تم الحل"), COUNTIFS('السيد سالم'!$B$35:$B$70, $A18, 'السيد سالم'!$A$35:$A$70, $C$3, 'السيد سالم'!$G$35:$G$70, "تم الحل")+COUNTIFS('محمد السويركي'!$B$35:$B$70, $A18, 'محمد السويركي'!$A$35:$A$70, $C$3, 'محمد السويركي'!$G$35:$G$70, "تم الحل")+COUNTIFS('خالد عبد ربه'!$B$35:$B$70, $A18, 'خالد عبد ربه'!$A$35:$A$70, $C$3, 'خالد عبد ربه'!$G$35:$G$70, "تم الحل")+COUNTIFS('ناريمان الحجاجرة'!$B$35:$B$70, $A18, 'ناريمان الحجاجرة'!$A$35:$A$70, $C$3, 'ناريمان الحجاجرة'!$G$35:$G$70, "تم الحل")+COUNTIFS('مروة حسان'!$B$35:$B$70, $A18, 'مروة حسان'!$A$35:$A$70, $C$3, 'مروة حسان'!$G$35:$G$70, "تم الحل")+COUNTIFS('إيمان المبارك'!$B$35:$B$70, $A18, 'إيمان المبارك'!$A$35:$A$70, $C$3, 'إيمان المبارك'!$G$35:$G$70, "تم الحل"))</f>
        <v>1</v>
      </c>
      <c r="F18" s="26">
        <f>IF($C$3="جميع الأسابيع", COUNTIFS('السيد سالم'!$B$35:$B$70, $A18, 'السيد سالم'!$G$35:$G$70, "مستمرة")+COUNTIFS('محمد السويركي'!$B$35:$B$70, $A18, 'محمد السويركي'!$G$35:$G$70, "مستمرة")+COUNTIFS('خالد عبد ربه'!$B$35:$B$70, $A18, 'خالد عبد ربه'!$G$35:$G$70, "مستمرة")+COUNTIFS('ناريمان الحجاجرة'!$B$35:$B$70, $A18, 'ناريمان الحجاجرة'!$G$35:$G$70, "مستمرة")+COUNTIFS('مروة حسان'!$B$35:$B$70, $A18, 'مروة حسان'!$G$35:$G$70, "مستمرة")+COUNTIFS('إيمان المبارك'!$B$35:$B$70, $A18, 'إيمان المبارك'!$G$35:$G$70, "مستمرة"), COUNTIFS('السيد سالم'!$B$35:$B$70, $A18, 'السيد سالم'!$A$35:$A$70, $C$3, 'السيد سالم'!$G$35:$G$70, "مستمرة")+COUNTIFS('محمد السويركي'!$B$35:$B$70, $A18, 'محمد السويركي'!$A$35:$A$70, $C$3, 'محمد السويركي'!$G$35:$G$70, "مستمرة")+COUNTIFS('خالد عبد ربه'!$B$35:$B$70, $A18, 'خالد عبد ربه'!$A$35:$A$70, $C$3, 'خالد عبد ربه'!$G$35:$G$70, "مستمرة")+COUNTIFS('ناريمان الحجاجرة'!$B$35:$B$70, $A18, 'ناريمان الحجاجرة'!$A$35:$A$70, $C$3, 'ناريمان الحجاجرة'!$G$35:$G$70, "مستمرة")+COUNTIFS('مروة حسان'!$B$35:$B$70, $A18, 'مروة حسان'!$A$35:$A$70, $C$3, 'مروة حسان'!$G$35:$G$70, "مستمرة")+COUNTIFS('إيمان المبارك'!$B$35:$B$70, $A18, 'إيمان المبارك'!$A$35:$A$70, $C$3, 'إيمان المبارك'!$G$35:$G$70, "مستمرة"))</f>
        <v>2</v>
      </c>
      <c r="G18" s="41">
        <f t="shared" si="5"/>
        <v>0.3333333333</v>
      </c>
      <c r="H18" s="26" t="str">
        <f t="shared" si="6"/>
        <v>يوجد ملاحظات مستمرة</v>
      </c>
    </row>
    <row r="19" ht="21.75" customHeight="1">
      <c r="A19" s="61" t="s">
        <v>13</v>
      </c>
      <c r="B19" s="26">
        <f t="shared" si="4"/>
        <v>17</v>
      </c>
      <c r="C19" s="26">
        <f>IF($C$3="جميع الأسابيع", COUNTIF('السيد سالم'!$C$13:$C$32, $A19)+COUNTIF('محمد السويركي'!$C$13:$C$32, $A19)+COUNTIF('خالد عبد ربه'!$C$13:$C$32, $A19)+COUNTIF('ناريمان الحجاجرة'!$C$13:$C$32, $A19)+COUNTIF('مروة حسان'!$C$13:$C$32, $A19)+COUNTIF('إيمان المبارك'!$C$13:$C$32, $A19), COUNTIFS('السيد سالم'!$C$13:$C$32, $A19, 'السيد سالم'!$A$13:$A$32, $C$3)+COUNTIFS('محمد السويركي'!$C$13:$C$32, $A19, 'محمد السويركي'!$A$13:$A$32, $C$3)+COUNTIFS('خالد عبد ربه'!$C$13:$C$32, $A19, 'خالد عبد ربه'!$A$13:$A$32, $C$3)+COUNTIFS('ناريمان الحجاجرة'!$C$13:$C$32, $A19, 'ناريمان الحجاجرة'!$A$13:$A$32, $C$3)+COUNTIFS('مروة حسان'!$C$13:$C$32, $A19, 'مروة حسان'!$A$13:$A$32, $C$3)+COUNTIFS('إيمان المبارك'!$C$13:$C$32, $A19, 'إيمان المبارك'!$A$13:$A$32, $C$3))</f>
        <v>12</v>
      </c>
      <c r="D19" s="26">
        <f>IF($C$3="جميع الأسابيع", COUNTIF('السيد سالم'!$B$35:$B$70, $A19)+COUNTIF('محمد السويركي'!$B$35:$B$70, $A19)+COUNTIF('خالد عبد ربه'!$B$35:$B$70, $A19)+COUNTIF('ناريمان الحجاجرة'!$B$35:$B$70, $A19)+COUNTIF('مروة حسان'!$B$35:$B$70, $A19)+COUNTIF('إيمان المبارك'!$B$35:$B$70, $A19), COUNTIFS('السيد سالم'!$B$35:$B$70, $A19, 'السيد سالم'!$A$35:$A$70, $C$3)+COUNTIFS('محمد السويركي'!$B$35:$B$70, $A19, 'محمد السويركي'!$A$35:$A$70, $C$3)+COUNTIFS('خالد عبد ربه'!$B$35:$B$70, $A19, 'خالد عبد ربه'!$A$35:$A$70, $C$3)+COUNTIFS('ناريمان الحجاجرة'!$B$35:$B$70, $A19, 'ناريمان الحجاجرة'!$A$35:$A$70, $C$3)+COUNTIFS('مروة حسان'!$B$35:$B$70, $A19, 'مروة حسان'!$A$35:$A$70, $C$3)+COUNTIFS('إيمان المبارك'!$B$35:$B$70, $A19, 'إيمان المبارك'!$A$35:$A$70, $C$3))</f>
        <v>5</v>
      </c>
      <c r="E19" s="26">
        <f>IF($C$3="جميع الأسابيع", COUNTIFS('السيد سالم'!$B$35:$B$70, $A19, 'السيد سالم'!$G$35:$G$70, "تم الحل")+COUNTIFS('محمد السويركي'!$B$35:$B$70, $A19, 'محمد السويركي'!$G$35:$G$70, "تم الحل")+COUNTIFS('خالد عبد ربه'!$B$35:$B$70, $A19, 'خالد عبد ربه'!$G$35:$G$70, "تم الحل")+COUNTIFS('ناريمان الحجاجرة'!$B$35:$B$70, $A19, 'ناريمان الحجاجرة'!$G$35:$G$70, "تم الحل")+COUNTIFS('مروة حسان'!$B$35:$B$70, $A19, 'مروة حسان'!$G$35:$G$70, "تم الحل")+COUNTIFS('إيمان المبارك'!$B$35:$B$70, $A19, 'إيمان المبارك'!$G$35:$G$70, "تم الحل"), COUNTIFS('السيد سالم'!$B$35:$B$70, $A19, 'السيد سالم'!$A$35:$A$70, $C$3, 'السيد سالم'!$G$35:$G$70, "تم الحل")+COUNTIFS('محمد السويركي'!$B$35:$B$70, $A19, 'محمد السويركي'!$A$35:$A$70, $C$3, 'محمد السويركي'!$G$35:$G$70, "تم الحل")+COUNTIFS('خالد عبد ربه'!$B$35:$B$70, $A19, 'خالد عبد ربه'!$A$35:$A$70, $C$3, 'خالد عبد ربه'!$G$35:$G$70, "تم الحل")+COUNTIFS('ناريمان الحجاجرة'!$B$35:$B$70, $A19, 'ناريمان الحجاجرة'!$A$35:$A$70, $C$3, 'ناريمان الحجاجرة'!$G$35:$G$70, "تم الحل")+COUNTIFS('مروة حسان'!$B$35:$B$70, $A19, 'مروة حسان'!$A$35:$A$70, $C$3, 'مروة حسان'!$G$35:$G$70, "تم الحل")+COUNTIFS('إيمان المبارك'!$B$35:$B$70, $A19, 'إيمان المبارك'!$A$35:$A$70, $C$3, 'إيمان المبارك'!$G$35:$G$70, "تم الحل"))</f>
        <v>2</v>
      </c>
      <c r="F19" s="26">
        <f>IF($C$3="جميع الأسابيع", COUNTIFS('السيد سالم'!$B$35:$B$70, $A19, 'السيد سالم'!$G$35:$G$70, "مستمرة")+COUNTIFS('محمد السويركي'!$B$35:$B$70, $A19, 'محمد السويركي'!$G$35:$G$70, "مستمرة")+COUNTIFS('خالد عبد ربه'!$B$35:$B$70, $A19, 'خالد عبد ربه'!$G$35:$G$70, "مستمرة")+COUNTIFS('ناريمان الحجاجرة'!$B$35:$B$70, $A19, 'ناريمان الحجاجرة'!$G$35:$G$70, "مستمرة")+COUNTIFS('مروة حسان'!$B$35:$B$70, $A19, 'مروة حسان'!$G$35:$G$70, "مستمرة")+COUNTIFS('إيمان المبارك'!$B$35:$B$70, $A19, 'إيمان المبارك'!$G$35:$G$70, "مستمرة"), COUNTIFS('السيد سالم'!$B$35:$B$70, $A19, 'السيد سالم'!$A$35:$A$70, $C$3, 'السيد سالم'!$G$35:$G$70, "مستمرة")+COUNTIFS('محمد السويركي'!$B$35:$B$70, $A19, 'محمد السويركي'!$A$35:$A$70, $C$3, 'محمد السويركي'!$G$35:$G$70, "مستمرة")+COUNTIFS('خالد عبد ربه'!$B$35:$B$70, $A19, 'خالد عبد ربه'!$A$35:$A$70, $C$3, 'خالد عبد ربه'!$G$35:$G$70, "مستمرة")+COUNTIFS('ناريمان الحجاجرة'!$B$35:$B$70, $A19, 'ناريمان الحجاجرة'!$A$35:$A$70, $C$3, 'ناريمان الحجاجرة'!$G$35:$G$70, "مستمرة")+COUNTIFS('مروة حسان'!$B$35:$B$70, $A19, 'مروة حسان'!$A$35:$A$70, $C$3, 'مروة حسان'!$G$35:$G$70, "مستمرة")+COUNTIFS('إيمان المبارك'!$B$35:$B$70, $A19, 'إيمان المبارك'!$A$35:$A$70, $C$3, 'إيمان المبارك'!$G$35:$G$70, "مستمرة"))</f>
        <v>0</v>
      </c>
      <c r="G19" s="41">
        <f t="shared" si="5"/>
        <v>1</v>
      </c>
      <c r="H19" s="26" t="str">
        <f t="shared" si="6"/>
        <v>تم إغلاق الملاحظات</v>
      </c>
    </row>
    <row r="20" ht="21.75" customHeight="1">
      <c r="A20" s="61" t="s">
        <v>15</v>
      </c>
      <c r="B20" s="26">
        <f t="shared" si="4"/>
        <v>8</v>
      </c>
      <c r="C20" s="26">
        <f>IF($C$3="جميع الأسابيع", COUNTIF('السيد سالم'!$C$13:$C$32, $A20)+COUNTIF('محمد السويركي'!$C$13:$C$32, $A20)+COUNTIF('خالد عبد ربه'!$C$13:$C$32, $A20)+COUNTIF('ناريمان الحجاجرة'!$C$13:$C$32, $A20)+COUNTIF('مروة حسان'!$C$13:$C$32, $A20)+COUNTIF('إيمان المبارك'!$C$13:$C$32, $A20), COUNTIFS('السيد سالم'!$C$13:$C$32, $A20, 'السيد سالم'!$A$13:$A$32, $C$3)+COUNTIFS('محمد السويركي'!$C$13:$C$32, $A20, 'محمد السويركي'!$A$13:$A$32, $C$3)+COUNTIFS('خالد عبد ربه'!$C$13:$C$32, $A20, 'خالد عبد ربه'!$A$13:$A$32, $C$3)+COUNTIFS('ناريمان الحجاجرة'!$C$13:$C$32, $A20, 'ناريمان الحجاجرة'!$A$13:$A$32, $C$3)+COUNTIFS('مروة حسان'!$C$13:$C$32, $A20, 'مروة حسان'!$A$13:$A$32, $C$3)+COUNTIFS('إيمان المبارك'!$C$13:$C$32, $A20, 'إيمان المبارك'!$A$13:$A$32, $C$3))</f>
        <v>7</v>
      </c>
      <c r="D20" s="26">
        <f>IF($C$3="جميع الأسابيع", COUNTIF('السيد سالم'!$B$35:$B$70, $A20)+COUNTIF('محمد السويركي'!$B$35:$B$70, $A20)+COUNTIF('خالد عبد ربه'!$B$35:$B$70, $A20)+COUNTIF('ناريمان الحجاجرة'!$B$35:$B$70, $A20)+COUNTIF('مروة حسان'!$B$35:$B$70, $A20)+COUNTIF('إيمان المبارك'!$B$35:$B$70, $A20), COUNTIFS('السيد سالم'!$B$35:$B$70, $A20, 'السيد سالم'!$A$35:$A$70, $C$3)+COUNTIFS('محمد السويركي'!$B$35:$B$70, $A20, 'محمد السويركي'!$A$35:$A$70, $C$3)+COUNTIFS('خالد عبد ربه'!$B$35:$B$70, $A20, 'خالد عبد ربه'!$A$35:$A$70, $C$3)+COUNTIFS('ناريمان الحجاجرة'!$B$35:$B$70, $A20, 'ناريمان الحجاجرة'!$A$35:$A$70, $C$3)+COUNTIFS('مروة حسان'!$B$35:$B$70, $A20, 'مروة حسان'!$A$35:$A$70, $C$3)+COUNTIFS('إيمان المبارك'!$B$35:$B$70, $A20, 'إيمان المبارك'!$A$35:$A$70, $C$3))</f>
        <v>1</v>
      </c>
      <c r="E20" s="26">
        <f>IF($C$3="جميع الأسابيع", COUNTIFS('السيد سالم'!$B$35:$B$70, $A20, 'السيد سالم'!$G$35:$G$70, "تم الحل")+COUNTIFS('محمد السويركي'!$B$35:$B$70, $A20, 'محمد السويركي'!$G$35:$G$70, "تم الحل")+COUNTIFS('خالد عبد ربه'!$B$35:$B$70, $A20, 'خالد عبد ربه'!$G$35:$G$70, "تم الحل")+COUNTIFS('ناريمان الحجاجرة'!$B$35:$B$70, $A20, 'ناريمان الحجاجرة'!$G$35:$G$70, "تم الحل")+COUNTIFS('مروة حسان'!$B$35:$B$70, $A20, 'مروة حسان'!$G$35:$G$70, "تم الحل")+COUNTIFS('إيمان المبارك'!$B$35:$B$70, $A20, 'إيمان المبارك'!$G$35:$G$70, "تم الحل"), COUNTIFS('السيد سالم'!$B$35:$B$70, $A20, 'السيد سالم'!$A$35:$A$70, $C$3, 'السيد سالم'!$G$35:$G$70, "تم الحل")+COUNTIFS('محمد السويركي'!$B$35:$B$70, $A20, 'محمد السويركي'!$A$35:$A$70, $C$3, 'محمد السويركي'!$G$35:$G$70, "تم الحل")+COUNTIFS('خالد عبد ربه'!$B$35:$B$70, $A20, 'خالد عبد ربه'!$A$35:$A$70, $C$3, 'خالد عبد ربه'!$G$35:$G$70, "تم الحل")+COUNTIFS('ناريمان الحجاجرة'!$B$35:$B$70, $A20, 'ناريمان الحجاجرة'!$A$35:$A$70, $C$3, 'ناريمان الحجاجرة'!$G$35:$G$70, "تم الحل")+COUNTIFS('مروة حسان'!$B$35:$B$70, $A20, 'مروة حسان'!$A$35:$A$70, $C$3, 'مروة حسان'!$G$35:$G$70, "تم الحل")+COUNTIFS('إيمان المبارك'!$B$35:$B$70, $A20, 'إيمان المبارك'!$A$35:$A$70, $C$3, 'إيمان المبارك'!$G$35:$G$70, "تم الحل"))</f>
        <v>0</v>
      </c>
      <c r="F20" s="26">
        <f>IF($C$3="جميع الأسابيع", COUNTIFS('السيد سالم'!$B$35:$B$70, $A20, 'السيد سالم'!$G$35:$G$70, "مستمرة")+COUNTIFS('محمد السويركي'!$B$35:$B$70, $A20, 'محمد السويركي'!$G$35:$G$70, "مستمرة")+COUNTIFS('خالد عبد ربه'!$B$35:$B$70, $A20, 'خالد عبد ربه'!$G$35:$G$70, "مستمرة")+COUNTIFS('ناريمان الحجاجرة'!$B$35:$B$70, $A20, 'ناريمان الحجاجرة'!$G$35:$G$70, "مستمرة")+COUNTIFS('مروة حسان'!$B$35:$B$70, $A20, 'مروة حسان'!$G$35:$G$70, "مستمرة")+COUNTIFS('إيمان المبارك'!$B$35:$B$70, $A20, 'إيمان المبارك'!$G$35:$G$70, "مستمرة"), COUNTIFS('السيد سالم'!$B$35:$B$70, $A20, 'السيد سالم'!$A$35:$A$70, $C$3, 'السيد سالم'!$G$35:$G$70, "مستمرة")+COUNTIFS('محمد السويركي'!$B$35:$B$70, $A20, 'محمد السويركي'!$A$35:$A$70, $C$3, 'محمد السويركي'!$G$35:$G$70, "مستمرة")+COUNTIFS('خالد عبد ربه'!$B$35:$B$70, $A20, 'خالد عبد ربه'!$A$35:$A$70, $C$3, 'خالد عبد ربه'!$G$35:$G$70, "مستمرة")+COUNTIFS('ناريمان الحجاجرة'!$B$35:$B$70, $A20, 'ناريمان الحجاجرة'!$A$35:$A$70, $C$3, 'ناريمان الحجاجرة'!$G$35:$G$70, "مستمرة")+COUNTIFS('مروة حسان'!$B$35:$B$70, $A20, 'مروة حسان'!$A$35:$A$70, $C$3, 'مروة حسان'!$G$35:$G$70, "مستمرة")+COUNTIFS('إيمان المبارك'!$B$35:$B$70, $A20, 'إيمان المبارك'!$A$35:$A$70, $C$3, 'إيمان المبارك'!$G$35:$G$70, "مستمرة"))</f>
        <v>0</v>
      </c>
      <c r="G20" s="41">
        <f t="shared" si="5"/>
        <v>0</v>
      </c>
      <c r="H20" s="26" t="str">
        <f t="shared" si="6"/>
        <v>تم إغلاق الملاحظات</v>
      </c>
    </row>
    <row r="21" ht="21.75" customHeight="1">
      <c r="A21" s="61" t="s">
        <v>18</v>
      </c>
      <c r="B21" s="26">
        <f t="shared" si="4"/>
        <v>11</v>
      </c>
      <c r="C21" s="26">
        <f>IF($C$3="جميع الأسابيع", COUNTIF('السيد سالم'!$C$13:$C$32, $A21)+COUNTIF('محمد السويركي'!$C$13:$C$32, $A21)+COUNTIF('خالد عبد ربه'!$C$13:$C$32, $A21)+COUNTIF('ناريمان الحجاجرة'!$C$13:$C$32, $A21)+COUNTIF('مروة حسان'!$C$13:$C$32, $A21)+COUNTIF('إيمان المبارك'!$C$13:$C$32, $A21), COUNTIFS('السيد سالم'!$C$13:$C$32, $A21, 'السيد سالم'!$A$13:$A$32, $C$3)+COUNTIFS('محمد السويركي'!$C$13:$C$32, $A21, 'محمد السويركي'!$A$13:$A$32, $C$3)+COUNTIFS('خالد عبد ربه'!$C$13:$C$32, $A21, 'خالد عبد ربه'!$A$13:$A$32, $C$3)+COUNTIFS('ناريمان الحجاجرة'!$C$13:$C$32, $A21, 'ناريمان الحجاجرة'!$A$13:$A$32, $C$3)+COUNTIFS('مروة حسان'!$C$13:$C$32, $A21, 'مروة حسان'!$A$13:$A$32, $C$3)+COUNTIFS('إيمان المبارك'!$C$13:$C$32, $A21, 'إيمان المبارك'!$A$13:$A$32, $C$3))</f>
        <v>10</v>
      </c>
      <c r="D21" s="26">
        <f>IF($C$3="جميع الأسابيع", COUNTIF('السيد سالم'!$B$35:$B$70, $A21)+COUNTIF('محمد السويركي'!$B$35:$B$70, $A21)+COUNTIF('خالد عبد ربه'!$B$35:$B$70, $A21)+COUNTIF('ناريمان الحجاجرة'!$B$35:$B$70, $A21)+COUNTIF('مروة حسان'!$B$35:$B$70, $A21)+COUNTIF('إيمان المبارك'!$B$35:$B$70, $A21), COUNTIFS('السيد سالم'!$B$35:$B$70, $A21, 'السيد سالم'!$A$35:$A$70, $C$3)+COUNTIFS('محمد السويركي'!$B$35:$B$70, $A21, 'محمد السويركي'!$A$35:$A$70, $C$3)+COUNTIFS('خالد عبد ربه'!$B$35:$B$70, $A21, 'خالد عبد ربه'!$A$35:$A$70, $C$3)+COUNTIFS('ناريمان الحجاجرة'!$B$35:$B$70, $A21, 'ناريمان الحجاجرة'!$A$35:$A$70, $C$3)+COUNTIFS('مروة حسان'!$B$35:$B$70, $A21, 'مروة حسان'!$A$35:$A$70, $C$3)+COUNTIFS('إيمان المبارك'!$B$35:$B$70, $A21, 'إيمان المبارك'!$A$35:$A$70, $C$3))</f>
        <v>1</v>
      </c>
      <c r="E21" s="26">
        <f>IF($C$3="جميع الأسابيع", COUNTIFS('السيد سالم'!$B$35:$B$70, $A21, 'السيد سالم'!$G$35:$G$70, "تم الحل")+COUNTIFS('محمد السويركي'!$B$35:$B$70, $A21, 'محمد السويركي'!$G$35:$G$70, "تم الحل")+COUNTIFS('خالد عبد ربه'!$B$35:$B$70, $A21, 'خالد عبد ربه'!$G$35:$G$70, "تم الحل")+COUNTIFS('ناريمان الحجاجرة'!$B$35:$B$70, $A21, 'ناريمان الحجاجرة'!$G$35:$G$70, "تم الحل")+COUNTIFS('مروة حسان'!$B$35:$B$70, $A21, 'مروة حسان'!$G$35:$G$70, "تم الحل")+COUNTIFS('إيمان المبارك'!$B$35:$B$70, $A21, 'إيمان المبارك'!$G$35:$G$70, "تم الحل"), COUNTIFS('السيد سالم'!$B$35:$B$70, $A21, 'السيد سالم'!$A$35:$A$70, $C$3, 'السيد سالم'!$G$35:$G$70, "تم الحل")+COUNTIFS('محمد السويركي'!$B$35:$B$70, $A21, 'محمد السويركي'!$A$35:$A$70, $C$3, 'محمد السويركي'!$G$35:$G$70, "تم الحل")+COUNTIFS('خالد عبد ربه'!$B$35:$B$70, $A21, 'خالد عبد ربه'!$A$35:$A$70, $C$3, 'خالد عبد ربه'!$G$35:$G$70, "تم الحل")+COUNTIFS('ناريمان الحجاجرة'!$B$35:$B$70, $A21, 'ناريمان الحجاجرة'!$A$35:$A$70, $C$3, 'ناريمان الحجاجرة'!$G$35:$G$70, "تم الحل")+COUNTIFS('مروة حسان'!$B$35:$B$70, $A21, 'مروة حسان'!$A$35:$A$70, $C$3, 'مروة حسان'!$G$35:$G$70, "تم الحل")+COUNTIFS('إيمان المبارك'!$B$35:$B$70, $A21, 'إيمان المبارك'!$A$35:$A$70, $C$3, 'إيمان المبارك'!$G$35:$G$70, "تم الحل"))</f>
        <v>0</v>
      </c>
      <c r="F21" s="26">
        <f>IF($C$3="جميع الأسابيع", COUNTIFS('السيد سالم'!$B$35:$B$70, $A21, 'السيد سالم'!$G$35:$G$70, "مستمرة")+COUNTIFS('محمد السويركي'!$B$35:$B$70, $A21, 'محمد السويركي'!$G$35:$G$70, "مستمرة")+COUNTIFS('خالد عبد ربه'!$B$35:$B$70, $A21, 'خالد عبد ربه'!$G$35:$G$70, "مستمرة")+COUNTIFS('ناريمان الحجاجرة'!$B$35:$B$70, $A21, 'ناريمان الحجاجرة'!$G$35:$G$70, "مستمرة")+COUNTIFS('مروة حسان'!$B$35:$B$70, $A21, 'مروة حسان'!$G$35:$G$70, "مستمرة")+COUNTIFS('إيمان المبارك'!$B$35:$B$70, $A21, 'إيمان المبارك'!$G$35:$G$70, "مستمرة"), COUNTIFS('السيد سالم'!$B$35:$B$70, $A21, 'السيد سالم'!$A$35:$A$70, $C$3, 'السيد سالم'!$G$35:$G$70, "مستمرة")+COUNTIFS('محمد السويركي'!$B$35:$B$70, $A21, 'محمد السويركي'!$A$35:$A$70, $C$3, 'محمد السويركي'!$G$35:$G$70, "مستمرة")+COUNTIFS('خالد عبد ربه'!$B$35:$B$70, $A21, 'خالد عبد ربه'!$A$35:$A$70, $C$3, 'خالد عبد ربه'!$G$35:$G$70, "مستمرة")+COUNTIFS('ناريمان الحجاجرة'!$B$35:$B$70, $A21, 'ناريمان الحجاجرة'!$A$35:$A$70, $C$3, 'ناريمان الحجاجرة'!$G$35:$G$70, "مستمرة")+COUNTIFS('مروة حسان'!$B$35:$B$70, $A21, 'مروة حسان'!$A$35:$A$70, $C$3, 'مروة حسان'!$G$35:$G$70, "مستمرة")+COUNTIFS('إيمان المبارك'!$B$35:$B$70, $A21, 'إيمان المبارك'!$A$35:$A$70, $C$3, 'إيمان المبارك'!$G$35:$G$70, "مستمرة"))</f>
        <v>0</v>
      </c>
      <c r="G21" s="41">
        <f t="shared" si="5"/>
        <v>0</v>
      </c>
      <c r="H21" s="26" t="str">
        <f t="shared" si="6"/>
        <v>تم إغلاق الملاحظات</v>
      </c>
    </row>
    <row r="22" ht="21.75" customHeight="1">
      <c r="A22" s="61" t="s">
        <v>20</v>
      </c>
      <c r="B22" s="26">
        <f t="shared" si="4"/>
        <v>11</v>
      </c>
      <c r="C22" s="26">
        <f>IF($C$3="جميع الأسابيع", COUNTIF('السيد سالم'!$C$13:$C$32, $A22)+COUNTIF('محمد السويركي'!$C$13:$C$32, $A22)+COUNTIF('خالد عبد ربه'!$C$13:$C$32, $A22)+COUNTIF('ناريمان الحجاجرة'!$C$13:$C$32, $A22)+COUNTIF('مروة حسان'!$C$13:$C$32, $A22)+COUNTIF('إيمان المبارك'!$C$13:$C$32, $A22), COUNTIFS('السيد سالم'!$C$13:$C$32, $A22, 'السيد سالم'!$A$13:$A$32, $C$3)+COUNTIFS('محمد السويركي'!$C$13:$C$32, $A22, 'محمد السويركي'!$A$13:$A$32, $C$3)+COUNTIFS('خالد عبد ربه'!$C$13:$C$32, $A22, 'خالد عبد ربه'!$A$13:$A$32, $C$3)+COUNTIFS('ناريمان الحجاجرة'!$C$13:$C$32, $A22, 'ناريمان الحجاجرة'!$A$13:$A$32, $C$3)+COUNTIFS('مروة حسان'!$C$13:$C$32, $A22, 'مروة حسان'!$A$13:$A$32, $C$3)+COUNTIFS('إيمان المبارك'!$C$13:$C$32, $A22, 'إيمان المبارك'!$A$13:$A$32, $C$3))</f>
        <v>6</v>
      </c>
      <c r="D22" s="26">
        <f>IF($C$3="جميع الأسابيع", COUNTIF('السيد سالم'!$B$35:$B$70, $A22)+COUNTIF('محمد السويركي'!$B$35:$B$70, $A22)+COUNTIF('خالد عبد ربه'!$B$35:$B$70, $A22)+COUNTIF('ناريمان الحجاجرة'!$B$35:$B$70, $A22)+COUNTIF('مروة حسان'!$B$35:$B$70, $A22)+COUNTIF('إيمان المبارك'!$B$35:$B$70, $A22), COUNTIFS('السيد سالم'!$B$35:$B$70, $A22, 'السيد سالم'!$A$35:$A$70, $C$3)+COUNTIFS('محمد السويركي'!$B$35:$B$70, $A22, 'محمد السويركي'!$A$35:$A$70, $C$3)+COUNTIFS('خالد عبد ربه'!$B$35:$B$70, $A22, 'خالد عبد ربه'!$A$35:$A$70, $C$3)+COUNTIFS('ناريمان الحجاجرة'!$B$35:$B$70, $A22, 'ناريمان الحجاجرة'!$A$35:$A$70, $C$3)+COUNTIFS('مروة حسان'!$B$35:$B$70, $A22, 'مروة حسان'!$A$35:$A$70, $C$3)+COUNTIFS('إيمان المبارك'!$B$35:$B$70, $A22, 'إيمان المبارك'!$A$35:$A$70, $C$3))</f>
        <v>5</v>
      </c>
      <c r="E22" s="26">
        <f>IF($C$3="جميع الأسابيع", COUNTIFS('السيد سالم'!$B$35:$B$70, $A22, 'السيد سالم'!$G$35:$G$70, "تم الحل")+COUNTIFS('محمد السويركي'!$B$35:$B$70, $A22, 'محمد السويركي'!$G$35:$G$70, "تم الحل")+COUNTIFS('خالد عبد ربه'!$B$35:$B$70, $A22, 'خالد عبد ربه'!$G$35:$G$70, "تم الحل")+COUNTIFS('ناريمان الحجاجرة'!$B$35:$B$70, $A22, 'ناريمان الحجاجرة'!$G$35:$G$70, "تم الحل")+COUNTIFS('مروة حسان'!$B$35:$B$70, $A22, 'مروة حسان'!$G$35:$G$70, "تم الحل")+COUNTIFS('إيمان المبارك'!$B$35:$B$70, $A22, 'إيمان المبارك'!$G$35:$G$70, "تم الحل"), COUNTIFS('السيد سالم'!$B$35:$B$70, $A22, 'السيد سالم'!$A$35:$A$70, $C$3, 'السيد سالم'!$G$35:$G$70, "تم الحل")+COUNTIFS('محمد السويركي'!$B$35:$B$70, $A22, 'محمد السويركي'!$A$35:$A$70, $C$3, 'محمد السويركي'!$G$35:$G$70, "تم الحل")+COUNTIFS('خالد عبد ربه'!$B$35:$B$70, $A22, 'خالد عبد ربه'!$A$35:$A$70, $C$3, 'خالد عبد ربه'!$G$35:$G$70, "تم الحل")+COUNTIFS('ناريمان الحجاجرة'!$B$35:$B$70, $A22, 'ناريمان الحجاجرة'!$A$35:$A$70, $C$3, 'ناريمان الحجاجرة'!$G$35:$G$70, "تم الحل")+COUNTIFS('مروة حسان'!$B$35:$B$70, $A22, 'مروة حسان'!$A$35:$A$70, $C$3, 'مروة حسان'!$G$35:$G$70, "تم الحل")+COUNTIFS('إيمان المبارك'!$B$35:$B$70, $A22, 'إيمان المبارك'!$A$35:$A$70, $C$3, 'إيمان المبارك'!$G$35:$G$70, "تم الحل"))</f>
        <v>5</v>
      </c>
      <c r="F22" s="26">
        <f>IF($C$3="جميع الأسابيع", COUNTIFS('السيد سالم'!$B$35:$B$70, $A22, 'السيد سالم'!$G$35:$G$70, "مستمرة")+COUNTIFS('محمد السويركي'!$B$35:$B$70, $A22, 'محمد السويركي'!$G$35:$G$70, "مستمرة")+COUNTIFS('خالد عبد ربه'!$B$35:$B$70, $A22, 'خالد عبد ربه'!$G$35:$G$70, "مستمرة")+COUNTIFS('ناريمان الحجاجرة'!$B$35:$B$70, $A22, 'ناريمان الحجاجرة'!$G$35:$G$70, "مستمرة")+COUNTIFS('مروة حسان'!$B$35:$B$70, $A22, 'مروة حسان'!$G$35:$G$70, "مستمرة")+COUNTIFS('إيمان المبارك'!$B$35:$B$70, $A22, 'إيمان المبارك'!$G$35:$G$70, "مستمرة"), COUNTIFS('السيد سالم'!$B$35:$B$70, $A22, 'السيد سالم'!$A$35:$A$70, $C$3, 'السيد سالم'!$G$35:$G$70, "مستمرة")+COUNTIFS('محمد السويركي'!$B$35:$B$70, $A22, 'محمد السويركي'!$A$35:$A$70, $C$3, 'محمد السويركي'!$G$35:$G$70, "مستمرة")+COUNTIFS('خالد عبد ربه'!$B$35:$B$70, $A22, 'خالد عبد ربه'!$A$35:$A$70, $C$3, 'خالد عبد ربه'!$G$35:$G$70, "مستمرة")+COUNTIFS('ناريمان الحجاجرة'!$B$35:$B$70, $A22, 'ناريمان الحجاجرة'!$A$35:$A$70, $C$3, 'ناريمان الحجاجرة'!$G$35:$G$70, "مستمرة")+COUNTIFS('مروة حسان'!$B$35:$B$70, $A22, 'مروة حسان'!$A$35:$A$70, $C$3, 'مروة حسان'!$G$35:$G$70, "مستمرة")+COUNTIFS('إيمان المبارك'!$B$35:$B$70, $A22, 'إيمان المبارك'!$A$35:$A$70, $C$3, 'إيمان المبارك'!$G$35:$G$70, "مستمرة"))</f>
        <v>0</v>
      </c>
      <c r="G22" s="41">
        <f t="shared" si="5"/>
        <v>1</v>
      </c>
      <c r="H22" s="26" t="str">
        <f t="shared" si="6"/>
        <v>تم إغلاق الملاحظات</v>
      </c>
    </row>
    <row r="23" ht="21.75" customHeight="1">
      <c r="A23" s="61" t="s">
        <v>22</v>
      </c>
      <c r="B23" s="26">
        <f t="shared" si="4"/>
        <v>8</v>
      </c>
      <c r="C23" s="26">
        <f>IF($C$3="جميع الأسابيع", COUNTIF('السيد سالم'!$C$13:$C$32, $A23)+COUNTIF('محمد السويركي'!$C$13:$C$32, $A23)+COUNTIF('خالد عبد ربه'!$C$13:$C$32, $A23)+COUNTIF('ناريمان الحجاجرة'!$C$13:$C$32, $A23)+COUNTIF('مروة حسان'!$C$13:$C$32, $A23)+COUNTIF('إيمان المبارك'!$C$13:$C$32, $A23), COUNTIFS('السيد سالم'!$C$13:$C$32, $A23, 'السيد سالم'!$A$13:$A$32, $C$3)+COUNTIFS('محمد السويركي'!$C$13:$C$32, $A23, 'محمد السويركي'!$A$13:$A$32, $C$3)+COUNTIFS('خالد عبد ربه'!$C$13:$C$32, $A23, 'خالد عبد ربه'!$A$13:$A$32, $C$3)+COUNTIFS('ناريمان الحجاجرة'!$C$13:$C$32, $A23, 'ناريمان الحجاجرة'!$A$13:$A$32, $C$3)+COUNTIFS('مروة حسان'!$C$13:$C$32, $A23, 'مروة حسان'!$A$13:$A$32, $C$3)+COUNTIFS('إيمان المبارك'!$C$13:$C$32, $A23, 'إيمان المبارك'!$A$13:$A$32, $C$3))</f>
        <v>6</v>
      </c>
      <c r="D23" s="26">
        <f>IF($C$3="جميع الأسابيع", COUNTIF('السيد سالم'!$B$35:$B$70, $A23)+COUNTIF('محمد السويركي'!$B$35:$B$70, $A23)+COUNTIF('خالد عبد ربه'!$B$35:$B$70, $A23)+COUNTIF('ناريمان الحجاجرة'!$B$35:$B$70, $A23)+COUNTIF('مروة حسان'!$B$35:$B$70, $A23)+COUNTIF('إيمان المبارك'!$B$35:$B$70, $A23), COUNTIFS('السيد سالم'!$B$35:$B$70, $A23, 'السيد سالم'!$A$35:$A$70, $C$3)+COUNTIFS('محمد السويركي'!$B$35:$B$70, $A23, 'محمد السويركي'!$A$35:$A$70, $C$3)+COUNTIFS('خالد عبد ربه'!$B$35:$B$70, $A23, 'خالد عبد ربه'!$A$35:$A$70, $C$3)+COUNTIFS('ناريمان الحجاجرة'!$B$35:$B$70, $A23, 'ناريمان الحجاجرة'!$A$35:$A$70, $C$3)+COUNTIFS('مروة حسان'!$B$35:$B$70, $A23, 'مروة حسان'!$A$35:$A$70, $C$3)+COUNTIFS('إيمان المبارك'!$B$35:$B$70, $A23, 'إيمان المبارك'!$A$35:$A$70, $C$3))</f>
        <v>2</v>
      </c>
      <c r="E23" s="26">
        <f>IF($C$3="جميع الأسابيع", COUNTIFS('السيد سالم'!$B$35:$B$70, $A23, 'السيد سالم'!$G$35:$G$70, "تم الحل")+COUNTIFS('محمد السويركي'!$B$35:$B$70, $A23, 'محمد السويركي'!$G$35:$G$70, "تم الحل")+COUNTIFS('خالد عبد ربه'!$B$35:$B$70, $A23, 'خالد عبد ربه'!$G$35:$G$70, "تم الحل")+COUNTIFS('ناريمان الحجاجرة'!$B$35:$B$70, $A23, 'ناريمان الحجاجرة'!$G$35:$G$70, "تم الحل")+COUNTIFS('مروة حسان'!$B$35:$B$70, $A23, 'مروة حسان'!$G$35:$G$70, "تم الحل")+COUNTIFS('إيمان المبارك'!$B$35:$B$70, $A23, 'إيمان المبارك'!$G$35:$G$70, "تم الحل"), COUNTIFS('السيد سالم'!$B$35:$B$70, $A23, 'السيد سالم'!$A$35:$A$70, $C$3, 'السيد سالم'!$G$35:$G$70, "تم الحل")+COUNTIFS('محمد السويركي'!$B$35:$B$70, $A23, 'محمد السويركي'!$A$35:$A$70, $C$3, 'محمد السويركي'!$G$35:$G$70, "تم الحل")+COUNTIFS('خالد عبد ربه'!$B$35:$B$70, $A23, 'خالد عبد ربه'!$A$35:$A$70, $C$3, 'خالد عبد ربه'!$G$35:$G$70, "تم الحل")+COUNTIFS('ناريمان الحجاجرة'!$B$35:$B$70, $A23, 'ناريمان الحجاجرة'!$A$35:$A$70, $C$3, 'ناريمان الحجاجرة'!$G$35:$G$70, "تم الحل")+COUNTIFS('مروة حسان'!$B$35:$B$70, $A23, 'مروة حسان'!$A$35:$A$70, $C$3, 'مروة حسان'!$G$35:$G$70, "تم الحل")+COUNTIFS('إيمان المبارك'!$B$35:$B$70, $A23, 'إيمان المبارك'!$A$35:$A$70, $C$3, 'إيمان المبارك'!$G$35:$G$70, "تم الحل"))</f>
        <v>2</v>
      </c>
      <c r="F23" s="26">
        <f>IF($C$3="جميع الأسابيع", COUNTIFS('السيد سالم'!$B$35:$B$70, $A23, 'السيد سالم'!$G$35:$G$70, "مستمرة")+COUNTIFS('محمد السويركي'!$B$35:$B$70, $A23, 'محمد السويركي'!$G$35:$G$70, "مستمرة")+COUNTIFS('خالد عبد ربه'!$B$35:$B$70, $A23, 'خالد عبد ربه'!$G$35:$G$70, "مستمرة")+COUNTIFS('ناريمان الحجاجرة'!$B$35:$B$70, $A23, 'ناريمان الحجاجرة'!$G$35:$G$70, "مستمرة")+COUNTIFS('مروة حسان'!$B$35:$B$70, $A23, 'مروة حسان'!$G$35:$G$70, "مستمرة")+COUNTIFS('إيمان المبارك'!$B$35:$B$70, $A23, 'إيمان المبارك'!$G$35:$G$70, "مستمرة"), COUNTIFS('السيد سالم'!$B$35:$B$70, $A23, 'السيد سالم'!$A$35:$A$70, $C$3, 'السيد سالم'!$G$35:$G$70, "مستمرة")+COUNTIFS('محمد السويركي'!$B$35:$B$70, $A23, 'محمد السويركي'!$A$35:$A$70, $C$3, 'محمد السويركي'!$G$35:$G$70, "مستمرة")+COUNTIFS('خالد عبد ربه'!$B$35:$B$70, $A23, 'خالد عبد ربه'!$A$35:$A$70, $C$3, 'خالد عبد ربه'!$G$35:$G$70, "مستمرة")+COUNTIFS('ناريمان الحجاجرة'!$B$35:$B$70, $A23, 'ناريمان الحجاجرة'!$A$35:$A$70, $C$3, 'ناريمان الحجاجرة'!$G$35:$G$70, "مستمرة")+COUNTIFS('مروة حسان'!$B$35:$B$70, $A23, 'مروة حسان'!$A$35:$A$70, $C$3, 'مروة حسان'!$G$35:$G$70, "مستمرة")+COUNTIFS('إيمان المبارك'!$B$35:$B$70, $A23, 'إيمان المبارك'!$A$35:$A$70, $C$3, 'إيمان المبارك'!$G$35:$G$70, "مستمرة"))</f>
        <v>0</v>
      </c>
      <c r="G23" s="41">
        <f t="shared" si="5"/>
        <v>1</v>
      </c>
      <c r="H23" s="26" t="str">
        <f t="shared" si="6"/>
        <v>تم إغلاق الملاحظات</v>
      </c>
    </row>
    <row r="24" ht="21.75" customHeight="1">
      <c r="A24" s="61" t="s">
        <v>24</v>
      </c>
      <c r="B24" s="26">
        <f t="shared" si="4"/>
        <v>0</v>
      </c>
      <c r="C24" s="26">
        <f>IF($C$3="جميع الأسابيع", COUNTIF('السيد سالم'!$C$13:$C$32, $A24)+COUNTIF('محمد السويركي'!$C$13:$C$32, $A24)+COUNTIF('خالد عبد ربه'!$C$13:$C$32, $A24)+COUNTIF('ناريمان الحجاجرة'!$C$13:$C$32, $A24)+COUNTIF('مروة حسان'!$C$13:$C$32, $A24)+COUNTIF('إيمان المبارك'!$C$13:$C$32, $A24), COUNTIFS('السيد سالم'!$C$13:$C$32, $A24, 'السيد سالم'!$A$13:$A$32, $C$3)+COUNTIFS('محمد السويركي'!$C$13:$C$32, $A24, 'محمد السويركي'!$A$13:$A$32, $C$3)+COUNTIFS('خالد عبد ربه'!$C$13:$C$32, $A24, 'خالد عبد ربه'!$A$13:$A$32, $C$3)+COUNTIFS('ناريمان الحجاجرة'!$C$13:$C$32, $A24, 'ناريمان الحجاجرة'!$A$13:$A$32, $C$3)+COUNTIFS('مروة حسان'!$C$13:$C$32, $A24, 'مروة حسان'!$A$13:$A$32, $C$3)+COUNTIFS('إيمان المبارك'!$C$13:$C$32, $A24, 'إيمان المبارك'!$A$13:$A$32, $C$3))</f>
        <v>0</v>
      </c>
      <c r="D24" s="26">
        <f>IF($C$3="جميع الأسابيع", COUNTIF('السيد سالم'!$B$35:$B$70, $A24)+COUNTIF('محمد السويركي'!$B$35:$B$70, $A24)+COUNTIF('خالد عبد ربه'!$B$35:$B$70, $A24)+COUNTIF('ناريمان الحجاجرة'!$B$35:$B$70, $A24)+COUNTIF('مروة حسان'!$B$35:$B$70, $A24)+COUNTIF('إيمان المبارك'!$B$35:$B$70, $A24), COUNTIFS('السيد سالم'!$B$35:$B$70, $A24, 'السيد سالم'!$A$35:$A$70, $C$3)+COUNTIFS('محمد السويركي'!$B$35:$B$70, $A24, 'محمد السويركي'!$A$35:$A$70, $C$3)+COUNTIFS('خالد عبد ربه'!$B$35:$B$70, $A24, 'خالد عبد ربه'!$A$35:$A$70, $C$3)+COUNTIFS('ناريمان الحجاجرة'!$B$35:$B$70, $A24, 'ناريمان الحجاجرة'!$A$35:$A$70, $C$3)+COUNTIFS('مروة حسان'!$B$35:$B$70, $A24, 'مروة حسان'!$A$35:$A$70, $C$3)+COUNTIFS('إيمان المبارك'!$B$35:$B$70, $A24, 'إيمان المبارك'!$A$35:$A$70, $C$3))</f>
        <v>0</v>
      </c>
      <c r="E24" s="26">
        <f>IF($C$3="جميع الأسابيع", COUNTIFS('السيد سالم'!$B$35:$B$70, $A24, 'السيد سالم'!$G$35:$G$70, "تم الحل")+COUNTIFS('محمد السويركي'!$B$35:$B$70, $A24, 'محمد السويركي'!$G$35:$G$70, "تم الحل")+COUNTIFS('خالد عبد ربه'!$B$35:$B$70, $A24, 'خالد عبد ربه'!$G$35:$G$70, "تم الحل")+COUNTIFS('ناريمان الحجاجرة'!$B$35:$B$70, $A24, 'ناريمان الحجاجرة'!$G$35:$G$70, "تم الحل")+COUNTIFS('مروة حسان'!$B$35:$B$70, $A24, 'مروة حسان'!$G$35:$G$70, "تم الحل")+COUNTIFS('إيمان المبارك'!$B$35:$B$70, $A24, 'إيمان المبارك'!$G$35:$G$70, "تم الحل"), COUNTIFS('السيد سالم'!$B$35:$B$70, $A24, 'السيد سالم'!$A$35:$A$70, $C$3, 'السيد سالم'!$G$35:$G$70, "تم الحل")+COUNTIFS('محمد السويركي'!$B$35:$B$70, $A24, 'محمد السويركي'!$A$35:$A$70, $C$3, 'محمد السويركي'!$G$35:$G$70, "تم الحل")+COUNTIFS('خالد عبد ربه'!$B$35:$B$70, $A24, 'خالد عبد ربه'!$A$35:$A$70, $C$3, 'خالد عبد ربه'!$G$35:$G$70, "تم الحل")+COUNTIFS('ناريمان الحجاجرة'!$B$35:$B$70, $A24, 'ناريمان الحجاجرة'!$A$35:$A$70, $C$3, 'ناريمان الحجاجرة'!$G$35:$G$70, "تم الحل")+COUNTIFS('مروة حسان'!$B$35:$B$70, $A24, 'مروة حسان'!$A$35:$A$70, $C$3, 'مروة حسان'!$G$35:$G$70, "تم الحل")+COUNTIFS('إيمان المبارك'!$B$35:$B$70, $A24, 'إيمان المبارك'!$A$35:$A$70, $C$3, 'إيمان المبارك'!$G$35:$G$70, "تم الحل"))</f>
        <v>0</v>
      </c>
      <c r="F24" s="26">
        <f>IF($C$3="جميع الأسابيع", COUNTIFS('السيد سالم'!$B$35:$B$70, $A24, 'السيد سالم'!$G$35:$G$70, "مستمرة")+COUNTIFS('محمد السويركي'!$B$35:$B$70, $A24, 'محمد السويركي'!$G$35:$G$70, "مستمرة")+COUNTIFS('خالد عبد ربه'!$B$35:$B$70, $A24, 'خالد عبد ربه'!$G$35:$G$70, "مستمرة")+COUNTIFS('ناريمان الحجاجرة'!$B$35:$B$70, $A24, 'ناريمان الحجاجرة'!$G$35:$G$70, "مستمرة")+COUNTIFS('مروة حسان'!$B$35:$B$70, $A24, 'مروة حسان'!$G$35:$G$70, "مستمرة")+COUNTIFS('إيمان المبارك'!$B$35:$B$70, $A24, 'إيمان المبارك'!$G$35:$G$70, "مستمرة"), COUNTIFS('السيد سالم'!$B$35:$B$70, $A24, 'السيد سالم'!$A$35:$A$70, $C$3, 'السيد سالم'!$G$35:$G$70, "مستمرة")+COUNTIFS('محمد السويركي'!$B$35:$B$70, $A24, 'محمد السويركي'!$A$35:$A$70, $C$3, 'محمد السويركي'!$G$35:$G$70, "مستمرة")+COUNTIFS('خالد عبد ربه'!$B$35:$B$70, $A24, 'خالد عبد ربه'!$A$35:$A$70, $C$3, 'خالد عبد ربه'!$G$35:$G$70, "مستمرة")+COUNTIFS('ناريمان الحجاجرة'!$B$35:$B$70, $A24, 'ناريمان الحجاجرة'!$A$35:$A$70, $C$3, 'ناريمان الحجاجرة'!$G$35:$G$70, "مستمرة")+COUNTIFS('مروة حسان'!$B$35:$B$70, $A24, 'مروة حسان'!$A$35:$A$70, $C$3, 'مروة حسان'!$G$35:$G$70, "مستمرة")+COUNTIFS('إيمان المبارك'!$B$35:$B$70, $A24, 'إيمان المبارك'!$A$35:$A$70, $C$3, 'إيمان المبارك'!$G$35:$G$70, "مستمرة"))</f>
        <v>0</v>
      </c>
      <c r="G24" s="41">
        <f t="shared" si="5"/>
        <v>0</v>
      </c>
      <c r="H24" s="26" t="str">
        <f t="shared" si="6"/>
        <v>لا توجد ملاحظات</v>
      </c>
    </row>
    <row r="25" ht="21.75" customHeight="1">
      <c r="A25" s="61" t="s">
        <v>26</v>
      </c>
      <c r="B25" s="26">
        <f t="shared" si="4"/>
        <v>4</v>
      </c>
      <c r="C25" s="26">
        <f>IF($C$3="جميع الأسابيع", COUNTIF('السيد سالم'!$C$13:$C$32, $A25)+COUNTIF('محمد السويركي'!$C$13:$C$32, $A25)+COUNTIF('خالد عبد ربه'!$C$13:$C$32, $A25)+COUNTIF('ناريمان الحجاجرة'!$C$13:$C$32, $A25)+COUNTIF('مروة حسان'!$C$13:$C$32, $A25)+COUNTIF('إيمان المبارك'!$C$13:$C$32, $A25), COUNTIFS('السيد سالم'!$C$13:$C$32, $A25, 'السيد سالم'!$A$13:$A$32, $C$3)+COUNTIFS('محمد السويركي'!$C$13:$C$32, $A25, 'محمد السويركي'!$A$13:$A$32, $C$3)+COUNTIFS('خالد عبد ربه'!$C$13:$C$32, $A25, 'خالد عبد ربه'!$A$13:$A$32, $C$3)+COUNTIFS('ناريمان الحجاجرة'!$C$13:$C$32, $A25, 'ناريمان الحجاجرة'!$A$13:$A$32, $C$3)+COUNTIFS('مروة حسان'!$C$13:$C$32, $A25, 'مروة حسان'!$A$13:$A$32, $C$3)+COUNTIFS('إيمان المبارك'!$C$13:$C$32, $A25, 'إيمان المبارك'!$A$13:$A$32, $C$3))</f>
        <v>3</v>
      </c>
      <c r="D25" s="26">
        <f>IF($C$3="جميع الأسابيع", COUNTIF('السيد سالم'!$B$35:$B$70, $A25)+COUNTIF('محمد السويركي'!$B$35:$B$70, $A25)+COUNTIF('خالد عبد ربه'!$B$35:$B$70, $A25)+COUNTIF('ناريمان الحجاجرة'!$B$35:$B$70, $A25)+COUNTIF('مروة حسان'!$B$35:$B$70, $A25)+COUNTIF('إيمان المبارك'!$B$35:$B$70, $A25), COUNTIFS('السيد سالم'!$B$35:$B$70, $A25, 'السيد سالم'!$A$35:$A$70, $C$3)+COUNTIFS('محمد السويركي'!$B$35:$B$70, $A25, 'محمد السويركي'!$A$35:$A$70, $C$3)+COUNTIFS('خالد عبد ربه'!$B$35:$B$70, $A25, 'خالد عبد ربه'!$A$35:$A$70, $C$3)+COUNTIFS('ناريمان الحجاجرة'!$B$35:$B$70, $A25, 'ناريمان الحجاجرة'!$A$35:$A$70, $C$3)+COUNTIFS('مروة حسان'!$B$35:$B$70, $A25, 'مروة حسان'!$A$35:$A$70, $C$3)+COUNTIFS('إيمان المبارك'!$B$35:$B$70, $A25, 'إيمان المبارك'!$A$35:$A$70, $C$3))</f>
        <v>1</v>
      </c>
      <c r="E25" s="26">
        <f>IF($C$3="جميع الأسابيع", COUNTIFS('السيد سالم'!$B$35:$B$70, $A25, 'السيد سالم'!$G$35:$G$70, "تم الحل")+COUNTIFS('محمد السويركي'!$B$35:$B$70, $A25, 'محمد السويركي'!$G$35:$G$70, "تم الحل")+COUNTIFS('خالد عبد ربه'!$B$35:$B$70, $A25, 'خالد عبد ربه'!$G$35:$G$70, "تم الحل")+COUNTIFS('ناريمان الحجاجرة'!$B$35:$B$70, $A25, 'ناريمان الحجاجرة'!$G$35:$G$70, "تم الحل")+COUNTIFS('مروة حسان'!$B$35:$B$70, $A25, 'مروة حسان'!$G$35:$G$70, "تم الحل")+COUNTIFS('إيمان المبارك'!$B$35:$B$70, $A25, 'إيمان المبارك'!$G$35:$G$70, "تم الحل"), COUNTIFS('السيد سالم'!$B$35:$B$70, $A25, 'السيد سالم'!$A$35:$A$70, $C$3, 'السيد سالم'!$G$35:$G$70, "تم الحل")+COUNTIFS('محمد السويركي'!$B$35:$B$70, $A25, 'محمد السويركي'!$A$35:$A$70, $C$3, 'محمد السويركي'!$G$35:$G$70, "تم الحل")+COUNTIFS('خالد عبد ربه'!$B$35:$B$70, $A25, 'خالد عبد ربه'!$A$35:$A$70, $C$3, 'خالد عبد ربه'!$G$35:$G$70, "تم الحل")+COUNTIFS('ناريمان الحجاجرة'!$B$35:$B$70, $A25, 'ناريمان الحجاجرة'!$A$35:$A$70, $C$3, 'ناريمان الحجاجرة'!$G$35:$G$70, "تم الحل")+COUNTIFS('مروة حسان'!$B$35:$B$70, $A25, 'مروة حسان'!$A$35:$A$70, $C$3, 'مروة حسان'!$G$35:$G$70, "تم الحل")+COUNTIFS('إيمان المبارك'!$B$35:$B$70, $A25, 'إيمان المبارك'!$A$35:$A$70, $C$3, 'إيمان المبارك'!$G$35:$G$70, "تم الحل"))</f>
        <v>1</v>
      </c>
      <c r="F25" s="26">
        <f>IF($C$3="جميع الأسابيع", COUNTIFS('السيد سالم'!$B$35:$B$70, $A25, 'السيد سالم'!$G$35:$G$70, "مستمرة")+COUNTIFS('محمد السويركي'!$B$35:$B$70, $A25, 'محمد السويركي'!$G$35:$G$70, "مستمرة")+COUNTIFS('خالد عبد ربه'!$B$35:$B$70, $A25, 'خالد عبد ربه'!$G$35:$G$70, "مستمرة")+COUNTIFS('ناريمان الحجاجرة'!$B$35:$B$70, $A25, 'ناريمان الحجاجرة'!$G$35:$G$70, "مستمرة")+COUNTIFS('مروة حسان'!$B$35:$B$70, $A25, 'مروة حسان'!$G$35:$G$70, "مستمرة")+COUNTIFS('إيمان المبارك'!$B$35:$B$70, $A25, 'إيمان المبارك'!$G$35:$G$70, "مستمرة"), COUNTIFS('السيد سالم'!$B$35:$B$70, $A25, 'السيد سالم'!$A$35:$A$70, $C$3, 'السيد سالم'!$G$35:$G$70, "مستمرة")+COUNTIFS('محمد السويركي'!$B$35:$B$70, $A25, 'محمد السويركي'!$A$35:$A$70, $C$3, 'محمد السويركي'!$G$35:$G$70, "مستمرة")+COUNTIFS('خالد عبد ربه'!$B$35:$B$70, $A25, 'خالد عبد ربه'!$A$35:$A$70, $C$3, 'خالد عبد ربه'!$G$35:$G$70, "مستمرة")+COUNTIFS('ناريمان الحجاجرة'!$B$35:$B$70, $A25, 'ناريمان الحجاجرة'!$A$35:$A$70, $C$3, 'ناريمان الحجاجرة'!$G$35:$G$70, "مستمرة")+COUNTIFS('مروة حسان'!$B$35:$B$70, $A25, 'مروة حسان'!$A$35:$A$70, $C$3, 'مروة حسان'!$G$35:$G$70, "مستمرة")+COUNTIFS('إيمان المبارك'!$B$35:$B$70, $A25, 'إيمان المبارك'!$A$35:$A$70, $C$3, 'إيمان المبارك'!$G$35:$G$70, "مستمرة"))</f>
        <v>0</v>
      </c>
      <c r="G25" s="41">
        <f t="shared" si="5"/>
        <v>1</v>
      </c>
      <c r="H25" s="26" t="str">
        <f t="shared" si="6"/>
        <v>تم إغلاق الملاحظات</v>
      </c>
    </row>
    <row r="26" ht="21.75" customHeight="1">
      <c r="A26" s="61" t="s">
        <v>28</v>
      </c>
      <c r="B26" s="26">
        <f t="shared" si="4"/>
        <v>0</v>
      </c>
      <c r="C26" s="26">
        <f>IF($C$3="جميع الأسابيع", COUNTIF('السيد سالم'!$C$13:$C$32, $A26)+COUNTIF('محمد السويركي'!$C$13:$C$32, $A26)+COUNTIF('خالد عبد ربه'!$C$13:$C$32, $A26)+COUNTIF('ناريمان الحجاجرة'!$C$13:$C$32, $A26)+COUNTIF('مروة حسان'!$C$13:$C$32, $A26)+COUNTIF('إيمان المبارك'!$C$13:$C$32, $A26), COUNTIFS('السيد سالم'!$C$13:$C$32, $A26, 'السيد سالم'!$A$13:$A$32, $C$3)+COUNTIFS('محمد السويركي'!$C$13:$C$32, $A26, 'محمد السويركي'!$A$13:$A$32, $C$3)+COUNTIFS('خالد عبد ربه'!$C$13:$C$32, $A26, 'خالد عبد ربه'!$A$13:$A$32, $C$3)+COUNTIFS('ناريمان الحجاجرة'!$C$13:$C$32, $A26, 'ناريمان الحجاجرة'!$A$13:$A$32, $C$3)+COUNTIFS('مروة حسان'!$C$13:$C$32, $A26, 'مروة حسان'!$A$13:$A$32, $C$3)+COUNTIFS('إيمان المبارك'!$C$13:$C$32, $A26, 'إيمان المبارك'!$A$13:$A$32, $C$3))</f>
        <v>0</v>
      </c>
      <c r="D26" s="26">
        <f>IF($C$3="جميع الأسابيع", COUNTIF('السيد سالم'!$B$35:$B$70, $A26)+COUNTIF('محمد السويركي'!$B$35:$B$70, $A26)+COUNTIF('خالد عبد ربه'!$B$35:$B$70, $A26)+COUNTIF('ناريمان الحجاجرة'!$B$35:$B$70, $A26)+COUNTIF('مروة حسان'!$B$35:$B$70, $A26)+COUNTIF('إيمان المبارك'!$B$35:$B$70, $A26), COUNTIFS('السيد سالم'!$B$35:$B$70, $A26, 'السيد سالم'!$A$35:$A$70, $C$3)+COUNTIFS('محمد السويركي'!$B$35:$B$70, $A26, 'محمد السويركي'!$A$35:$A$70, $C$3)+COUNTIFS('خالد عبد ربه'!$B$35:$B$70, $A26, 'خالد عبد ربه'!$A$35:$A$70, $C$3)+COUNTIFS('ناريمان الحجاجرة'!$B$35:$B$70, $A26, 'ناريمان الحجاجرة'!$A$35:$A$70, $C$3)+COUNTIFS('مروة حسان'!$B$35:$B$70, $A26, 'مروة حسان'!$A$35:$A$70, $C$3)+COUNTIFS('إيمان المبارك'!$B$35:$B$70, $A26, 'إيمان المبارك'!$A$35:$A$70, $C$3))</f>
        <v>0</v>
      </c>
      <c r="E26" s="26">
        <f>IF($C$3="جميع الأسابيع", COUNTIFS('السيد سالم'!$B$35:$B$70, $A26, 'السيد سالم'!$G$35:$G$70, "تم الحل")+COUNTIFS('محمد السويركي'!$B$35:$B$70, $A26, 'محمد السويركي'!$G$35:$G$70, "تم الحل")+COUNTIFS('خالد عبد ربه'!$B$35:$B$70, $A26, 'خالد عبد ربه'!$G$35:$G$70, "تم الحل")+COUNTIFS('ناريمان الحجاجرة'!$B$35:$B$70, $A26, 'ناريمان الحجاجرة'!$G$35:$G$70, "تم الحل")+COUNTIFS('مروة حسان'!$B$35:$B$70, $A26, 'مروة حسان'!$G$35:$G$70, "تم الحل")+COUNTIFS('إيمان المبارك'!$B$35:$B$70, $A26, 'إيمان المبارك'!$G$35:$G$70, "تم الحل"), COUNTIFS('السيد سالم'!$B$35:$B$70, $A26, 'السيد سالم'!$A$35:$A$70, $C$3, 'السيد سالم'!$G$35:$G$70, "تم الحل")+COUNTIFS('محمد السويركي'!$B$35:$B$70, $A26, 'محمد السويركي'!$A$35:$A$70, $C$3, 'محمد السويركي'!$G$35:$G$70, "تم الحل")+COUNTIFS('خالد عبد ربه'!$B$35:$B$70, $A26, 'خالد عبد ربه'!$A$35:$A$70, $C$3, 'خالد عبد ربه'!$G$35:$G$70, "تم الحل")+COUNTIFS('ناريمان الحجاجرة'!$B$35:$B$70, $A26, 'ناريمان الحجاجرة'!$A$35:$A$70, $C$3, 'ناريمان الحجاجرة'!$G$35:$G$70, "تم الحل")+COUNTIFS('مروة حسان'!$B$35:$B$70, $A26, 'مروة حسان'!$A$35:$A$70, $C$3, 'مروة حسان'!$G$35:$G$70, "تم الحل")+COUNTIFS('إيمان المبارك'!$B$35:$B$70, $A26, 'إيمان المبارك'!$A$35:$A$70, $C$3, 'إيمان المبارك'!$G$35:$G$70, "تم الحل"))</f>
        <v>0</v>
      </c>
      <c r="F26" s="26">
        <f>IF($C$3="جميع الأسابيع", COUNTIFS('السيد سالم'!$B$35:$B$70, $A26, 'السيد سالم'!$G$35:$G$70, "مستمرة")+COUNTIFS('محمد السويركي'!$B$35:$B$70, $A26, 'محمد السويركي'!$G$35:$G$70, "مستمرة")+COUNTIFS('خالد عبد ربه'!$B$35:$B$70, $A26, 'خالد عبد ربه'!$G$35:$G$70, "مستمرة")+COUNTIFS('ناريمان الحجاجرة'!$B$35:$B$70, $A26, 'ناريمان الحجاجرة'!$G$35:$G$70, "مستمرة")+COUNTIFS('مروة حسان'!$B$35:$B$70, $A26, 'مروة حسان'!$G$35:$G$70, "مستمرة")+COUNTIFS('إيمان المبارك'!$B$35:$B$70, $A26, 'إيمان المبارك'!$G$35:$G$70, "مستمرة"), COUNTIFS('السيد سالم'!$B$35:$B$70, $A26, 'السيد سالم'!$A$35:$A$70, $C$3, 'السيد سالم'!$G$35:$G$70, "مستمرة")+COUNTIFS('محمد السويركي'!$B$35:$B$70, $A26, 'محمد السويركي'!$A$35:$A$70, $C$3, 'محمد السويركي'!$G$35:$G$70, "مستمرة")+COUNTIFS('خالد عبد ربه'!$B$35:$B$70, $A26, 'خالد عبد ربه'!$A$35:$A$70, $C$3, 'خالد عبد ربه'!$G$35:$G$70, "مستمرة")+COUNTIFS('ناريمان الحجاجرة'!$B$35:$B$70, $A26, 'ناريمان الحجاجرة'!$A$35:$A$70, $C$3, 'ناريمان الحجاجرة'!$G$35:$G$70, "مستمرة")+COUNTIFS('مروة حسان'!$B$35:$B$70, $A26, 'مروة حسان'!$A$35:$A$70, $C$3, 'مروة حسان'!$G$35:$G$70, "مستمرة")+COUNTIFS('إيمان المبارك'!$B$35:$B$70, $A26, 'إيمان المبارك'!$A$35:$A$70, $C$3, 'إيمان المبارك'!$G$35:$G$70, "مستمرة"))</f>
        <v>0</v>
      </c>
      <c r="G26" s="41">
        <f t="shared" si="5"/>
        <v>0</v>
      </c>
      <c r="H26" s="26" t="str">
        <f t="shared" si="6"/>
        <v>لا توجد ملاحظات</v>
      </c>
    </row>
    <row r="27" ht="24.75" customHeight="1">
      <c r="A27" s="53" t="s">
        <v>257</v>
      </c>
      <c r="B27" s="54">
        <f t="shared" ref="B27:F27" si="7">SUM(B16:B26)</f>
        <v>78</v>
      </c>
      <c r="C27" s="54">
        <f t="shared" si="7"/>
        <v>55</v>
      </c>
      <c r="D27" s="54">
        <f t="shared" si="7"/>
        <v>23</v>
      </c>
      <c r="E27" s="54">
        <f t="shared" si="7"/>
        <v>15</v>
      </c>
      <c r="F27" s="54">
        <f t="shared" si="7"/>
        <v>3</v>
      </c>
      <c r="G27" s="57">
        <f t="shared" si="5"/>
        <v>0.8333333333</v>
      </c>
      <c r="H27" s="59" t="s">
        <v>197</v>
      </c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B3"/>
    <mergeCell ref="D3:E3"/>
    <mergeCell ref="G3:H3"/>
    <mergeCell ref="A14:H14"/>
  </mergeCells>
  <dataValidations>
    <dataValidation type="list" allowBlank="1" sqref="F3">
      <formula1>'قوائم_البيانات'!$B$1:$B$12</formula1>
    </dataValidation>
    <dataValidation type="list" allowBlank="1" sqref="C3">
      <formula1>'قوائم_البيانات'!$A$1:$A$18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2</v>
      </c>
      <c r="C1" s="1" t="s">
        <v>3</v>
      </c>
    </row>
    <row r="2" ht="13.5" customHeight="1">
      <c r="A2" s="1" t="s">
        <v>4</v>
      </c>
      <c r="B2" s="1" t="s">
        <v>5</v>
      </c>
      <c r="C2" s="1" t="s">
        <v>6</v>
      </c>
    </row>
    <row r="3" ht="13.5" customHeight="1">
      <c r="A3" s="1" t="s">
        <v>7</v>
      </c>
      <c r="B3" s="1" t="s">
        <v>8</v>
      </c>
      <c r="C3" s="1" t="s">
        <v>9</v>
      </c>
    </row>
    <row r="4" ht="13.5" customHeight="1">
      <c r="A4" s="1" t="s">
        <v>10</v>
      </c>
      <c r="B4" s="1" t="s">
        <v>11</v>
      </c>
    </row>
    <row r="5" ht="13.5" customHeight="1">
      <c r="A5" s="1" t="s">
        <v>12</v>
      </c>
      <c r="B5" s="1" t="s">
        <v>13</v>
      </c>
    </row>
    <row r="6" ht="13.5" customHeight="1">
      <c r="A6" s="1" t="s">
        <v>14</v>
      </c>
      <c r="B6" s="1" t="s">
        <v>15</v>
      </c>
    </row>
    <row r="7" ht="13.5" customHeight="1">
      <c r="A7" s="1" t="s">
        <v>17</v>
      </c>
      <c r="B7" s="1" t="s">
        <v>18</v>
      </c>
    </row>
    <row r="8" ht="13.5" customHeight="1">
      <c r="A8" s="1" t="s">
        <v>19</v>
      </c>
      <c r="B8" s="1" t="s">
        <v>20</v>
      </c>
    </row>
    <row r="9" ht="13.5" customHeight="1">
      <c r="A9" s="1" t="s">
        <v>21</v>
      </c>
      <c r="B9" s="1" t="s">
        <v>22</v>
      </c>
    </row>
    <row r="10" ht="13.5" customHeight="1">
      <c r="A10" s="1" t="s">
        <v>23</v>
      </c>
      <c r="B10" s="1" t="s">
        <v>24</v>
      </c>
    </row>
    <row r="11" ht="13.5" customHeight="1">
      <c r="A11" s="1" t="s">
        <v>25</v>
      </c>
      <c r="B11" s="1" t="s">
        <v>26</v>
      </c>
    </row>
    <row r="12" ht="13.5" customHeight="1">
      <c r="A12" s="1" t="s">
        <v>27</v>
      </c>
      <c r="B12" s="1" t="s">
        <v>28</v>
      </c>
    </row>
    <row r="13" ht="13.5" customHeight="1">
      <c r="A13" s="1" t="s">
        <v>29</v>
      </c>
    </row>
    <row r="14" ht="13.5" customHeight="1">
      <c r="A14" s="1" t="s">
        <v>30</v>
      </c>
    </row>
    <row r="15" ht="13.5" customHeight="1">
      <c r="A15" s="1" t="s">
        <v>31</v>
      </c>
    </row>
    <row r="16" ht="13.5" customHeight="1">
      <c r="A16" s="1" t="s">
        <v>33</v>
      </c>
    </row>
    <row r="17" ht="13.5" customHeight="1">
      <c r="A17" s="1" t="s">
        <v>34</v>
      </c>
    </row>
    <row r="18" ht="13.5" customHeight="1">
      <c r="A18" s="1" t="s">
        <v>35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9.57"/>
    <col customWidth="1" min="6" max="6" width="30.0"/>
    <col customWidth="1" min="7" max="7" width="30.71"/>
    <col customWidth="1" min="8" max="26" width="8.71"/>
  </cols>
  <sheetData>
    <row r="1" ht="34.5" customHeight="1">
      <c r="A1" s="2" t="s">
        <v>16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41</v>
      </c>
      <c r="B3" s="15"/>
      <c r="C3" s="16"/>
      <c r="D3" s="21">
        <f>COUNTA(B13:B32) + COUNTA(D35:D70)</f>
        <v>19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21">
        <f>COUNTA(B13:B32)</f>
        <v>11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21">
        <f>COUNTA(E35:E70)</f>
        <v>8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21">
        <f>COUNTIF(G35:G70, "تم الحل")</f>
        <v>5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21">
        <f>COUNTIF(G35:G70, "مستمرة")</f>
        <v>3</v>
      </c>
      <c r="E7" s="22" t="s">
        <v>58</v>
      </c>
      <c r="F7" s="23"/>
      <c r="G7" s="24"/>
    </row>
    <row r="8" ht="19.5" customHeight="1">
      <c r="A8" s="27" t="s">
        <v>59</v>
      </c>
      <c r="B8" s="28"/>
      <c r="C8" s="29"/>
      <c r="D8" s="30">
        <f>IFERROR(D6/(D6+D7), 0)</f>
        <v>0.625</v>
      </c>
      <c r="E8" s="31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33" t="s">
        <v>62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ht="19.5" customHeight="1">
      <c r="A13" s="34" t="s">
        <v>21</v>
      </c>
      <c r="B13" s="35" t="s">
        <v>68</v>
      </c>
      <c r="C13" s="34" t="s">
        <v>11</v>
      </c>
      <c r="D13" s="34" t="s">
        <v>6</v>
      </c>
      <c r="E13" s="35" t="s">
        <v>70</v>
      </c>
      <c r="F13" s="36"/>
    </row>
    <row r="14" ht="19.5" customHeight="1">
      <c r="A14" s="34" t="s">
        <v>21</v>
      </c>
      <c r="B14" s="35" t="s">
        <v>71</v>
      </c>
      <c r="C14" s="34" t="s">
        <v>11</v>
      </c>
      <c r="D14" s="34" t="s">
        <v>6</v>
      </c>
      <c r="E14" s="35" t="s">
        <v>72</v>
      </c>
      <c r="F14" s="36"/>
    </row>
    <row r="15" ht="19.5" customHeight="1">
      <c r="A15" s="34" t="s">
        <v>21</v>
      </c>
      <c r="B15" s="35" t="s">
        <v>74</v>
      </c>
      <c r="C15" s="34" t="s">
        <v>11</v>
      </c>
      <c r="D15" s="34" t="s">
        <v>9</v>
      </c>
      <c r="E15" s="35" t="s">
        <v>75</v>
      </c>
      <c r="F15" s="36"/>
    </row>
    <row r="16" ht="19.5" customHeight="1">
      <c r="A16" s="34" t="s">
        <v>21</v>
      </c>
      <c r="B16" s="35" t="s">
        <v>77</v>
      </c>
      <c r="C16" s="34" t="s">
        <v>5</v>
      </c>
      <c r="D16" s="34" t="s">
        <v>3</v>
      </c>
      <c r="E16" s="35" t="s">
        <v>78</v>
      </c>
      <c r="F16" s="36"/>
    </row>
    <row r="17" ht="19.5" customHeight="1">
      <c r="A17" s="34" t="s">
        <v>21</v>
      </c>
      <c r="B17" s="35" t="s">
        <v>80</v>
      </c>
      <c r="C17" s="34" t="s">
        <v>5</v>
      </c>
      <c r="D17" s="34" t="s">
        <v>3</v>
      </c>
      <c r="E17" s="35" t="s">
        <v>82</v>
      </c>
      <c r="F17" s="36"/>
    </row>
    <row r="18" ht="19.5" customHeight="1">
      <c r="A18" s="34" t="s">
        <v>21</v>
      </c>
      <c r="B18" s="35" t="s">
        <v>84</v>
      </c>
      <c r="C18" s="34" t="s">
        <v>8</v>
      </c>
      <c r="D18" s="34" t="s">
        <v>9</v>
      </c>
      <c r="E18" s="35" t="s">
        <v>87</v>
      </c>
      <c r="F18" s="36"/>
    </row>
    <row r="19" ht="19.5" customHeight="1">
      <c r="A19" s="34" t="s">
        <v>21</v>
      </c>
      <c r="B19" s="35" t="s">
        <v>89</v>
      </c>
      <c r="C19" s="34" t="s">
        <v>8</v>
      </c>
      <c r="D19" s="34" t="s">
        <v>9</v>
      </c>
      <c r="E19" s="35" t="s">
        <v>91</v>
      </c>
      <c r="F19" s="38">
        <v>46309.0</v>
      </c>
    </row>
    <row r="20" ht="19.5" customHeight="1">
      <c r="A20" s="34" t="s">
        <v>21</v>
      </c>
      <c r="B20" s="35" t="s">
        <v>94</v>
      </c>
      <c r="C20" s="34" t="s">
        <v>5</v>
      </c>
      <c r="D20" s="34" t="s">
        <v>9</v>
      </c>
      <c r="E20" s="35" t="s">
        <v>96</v>
      </c>
      <c r="F20" s="36"/>
    </row>
    <row r="21" ht="19.5" customHeight="1">
      <c r="A21" s="34" t="s">
        <v>21</v>
      </c>
      <c r="B21" s="35" t="s">
        <v>98</v>
      </c>
      <c r="C21" s="34" t="s">
        <v>5</v>
      </c>
      <c r="D21" s="34" t="s">
        <v>6</v>
      </c>
      <c r="E21" s="35" t="s">
        <v>100</v>
      </c>
      <c r="F21" s="38">
        <v>46310.0</v>
      </c>
    </row>
    <row r="22" ht="19.5" customHeight="1">
      <c r="A22" s="34" t="s">
        <v>21</v>
      </c>
      <c r="B22" s="35" t="s">
        <v>101</v>
      </c>
      <c r="C22" s="34" t="s">
        <v>5</v>
      </c>
      <c r="D22" s="34" t="s">
        <v>3</v>
      </c>
      <c r="E22" s="35" t="s">
        <v>104</v>
      </c>
      <c r="F22" s="36"/>
    </row>
    <row r="23" ht="19.5" customHeight="1">
      <c r="A23" s="34" t="s">
        <v>23</v>
      </c>
      <c r="B23" s="35" t="s">
        <v>105</v>
      </c>
      <c r="C23" s="34" t="s">
        <v>5</v>
      </c>
      <c r="D23" s="34" t="s">
        <v>3</v>
      </c>
      <c r="E23" s="35" t="s">
        <v>107</v>
      </c>
      <c r="F23" s="38">
        <v>46313.0</v>
      </c>
    </row>
    <row r="24" ht="19.5" customHeight="1">
      <c r="A24" s="36"/>
      <c r="B24" s="40"/>
      <c r="C24" s="36"/>
      <c r="D24" s="36"/>
      <c r="E24" s="40"/>
      <c r="F24" s="36"/>
    </row>
    <row r="25" ht="19.5" customHeight="1">
      <c r="A25" s="36"/>
      <c r="B25" s="40"/>
      <c r="C25" s="36"/>
      <c r="D25" s="36"/>
      <c r="E25" s="40"/>
      <c r="F25" s="36"/>
    </row>
    <row r="26" ht="19.5" customHeight="1">
      <c r="A26" s="36"/>
      <c r="B26" s="40"/>
      <c r="C26" s="36"/>
      <c r="D26" s="36"/>
      <c r="E26" s="40"/>
      <c r="F26" s="36"/>
    </row>
    <row r="27" ht="19.5" customHeight="1">
      <c r="A27" s="36"/>
      <c r="B27" s="40"/>
      <c r="C27" s="36"/>
      <c r="D27" s="36"/>
      <c r="E27" s="40"/>
      <c r="F27" s="36"/>
    </row>
    <row r="28" ht="19.5" customHeight="1">
      <c r="A28" s="36"/>
      <c r="B28" s="40"/>
      <c r="C28" s="36"/>
      <c r="D28" s="36"/>
      <c r="E28" s="40"/>
      <c r="F28" s="36"/>
    </row>
    <row r="29" ht="19.5" customHeight="1">
      <c r="A29" s="36"/>
      <c r="B29" s="40"/>
      <c r="C29" s="36"/>
      <c r="D29" s="36"/>
      <c r="E29" s="40"/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34" t="s">
        <v>21</v>
      </c>
      <c r="B35" s="34" t="s">
        <v>11</v>
      </c>
      <c r="C35" s="34" t="s">
        <v>3</v>
      </c>
      <c r="D35" s="35" t="s">
        <v>127</v>
      </c>
      <c r="E35" s="35" t="s">
        <v>128</v>
      </c>
      <c r="F35" s="35" t="s">
        <v>129</v>
      </c>
      <c r="G35" s="34" t="s">
        <v>130</v>
      </c>
    </row>
    <row r="36" ht="19.5" customHeight="1">
      <c r="A36" s="34" t="s">
        <v>21</v>
      </c>
      <c r="B36" s="34" t="s">
        <v>11</v>
      </c>
      <c r="C36" s="34" t="s">
        <v>3</v>
      </c>
      <c r="D36" s="35" t="s">
        <v>131</v>
      </c>
      <c r="E36" s="35" t="s">
        <v>128</v>
      </c>
      <c r="F36" s="35" t="s">
        <v>129</v>
      </c>
      <c r="G36" s="34" t="s">
        <v>130</v>
      </c>
    </row>
    <row r="37" ht="19.5" customHeight="1">
      <c r="A37" s="34" t="s">
        <v>21</v>
      </c>
      <c r="B37" s="34" t="s">
        <v>5</v>
      </c>
      <c r="C37" s="34" t="s">
        <v>3</v>
      </c>
      <c r="D37" s="35" t="s">
        <v>132</v>
      </c>
      <c r="E37" s="35" t="s">
        <v>133</v>
      </c>
      <c r="F37" s="35" t="s">
        <v>134</v>
      </c>
      <c r="G37" s="34" t="s">
        <v>135</v>
      </c>
    </row>
    <row r="38" ht="19.5" customHeight="1">
      <c r="A38" s="34" t="s">
        <v>21</v>
      </c>
      <c r="B38" s="34" t="s">
        <v>5</v>
      </c>
      <c r="C38" s="34" t="s">
        <v>6</v>
      </c>
      <c r="D38" s="35" t="s">
        <v>136</v>
      </c>
      <c r="E38" s="35" t="s">
        <v>133</v>
      </c>
      <c r="F38" s="35" t="s">
        <v>134</v>
      </c>
      <c r="G38" s="34" t="s">
        <v>135</v>
      </c>
    </row>
    <row r="39" ht="19.5" customHeight="1">
      <c r="A39" s="34" t="s">
        <v>21</v>
      </c>
      <c r="B39" s="34" t="s">
        <v>5</v>
      </c>
      <c r="C39" s="34" t="s">
        <v>9</v>
      </c>
      <c r="D39" s="35" t="s">
        <v>139</v>
      </c>
      <c r="E39" s="35" t="s">
        <v>133</v>
      </c>
      <c r="F39" s="35" t="s">
        <v>134</v>
      </c>
      <c r="G39" s="34" t="s">
        <v>135</v>
      </c>
    </row>
    <row r="40" ht="19.5" customHeight="1">
      <c r="A40" s="34" t="s">
        <v>21</v>
      </c>
      <c r="B40" s="34" t="s">
        <v>5</v>
      </c>
      <c r="C40" s="34" t="s">
        <v>9</v>
      </c>
      <c r="D40" s="35" t="s">
        <v>140</v>
      </c>
      <c r="E40" s="35" t="s">
        <v>133</v>
      </c>
      <c r="F40" s="35" t="s">
        <v>141</v>
      </c>
      <c r="G40" s="34" t="s">
        <v>135</v>
      </c>
    </row>
    <row r="41" ht="19.5" customHeight="1">
      <c r="A41" s="34" t="s">
        <v>23</v>
      </c>
      <c r="B41" s="34" t="s">
        <v>5</v>
      </c>
      <c r="C41" s="34" t="s">
        <v>6</v>
      </c>
      <c r="D41" s="35" t="s">
        <v>142</v>
      </c>
      <c r="E41" s="35" t="s">
        <v>133</v>
      </c>
      <c r="F41" s="35" t="s">
        <v>143</v>
      </c>
      <c r="G41" s="34" t="s">
        <v>130</v>
      </c>
    </row>
    <row r="42" ht="19.5" customHeight="1">
      <c r="A42" s="34" t="s">
        <v>21</v>
      </c>
      <c r="B42" s="34" t="s">
        <v>11</v>
      </c>
      <c r="C42" s="34" t="s">
        <v>9</v>
      </c>
      <c r="D42" s="35" t="s">
        <v>144</v>
      </c>
      <c r="E42" s="35" t="s">
        <v>145</v>
      </c>
      <c r="F42" s="35" t="s">
        <v>146</v>
      </c>
      <c r="G42" s="34" t="s">
        <v>135</v>
      </c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86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32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41</v>
      </c>
      <c r="B3" s="15"/>
      <c r="C3" s="16"/>
      <c r="D3" s="21">
        <f>COUNTA(B13:B32) + COUNTA(D35:D70)</f>
        <v>19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21">
        <f>COUNTA(B13:B32)</f>
        <v>17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21">
        <f>COUNTA(E35:E70)</f>
        <v>2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21">
        <f>COUNTIF(G35:G70, "تم الحل")</f>
        <v>2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21">
        <f>COUNTIF(G35:G70, "مستمرة")</f>
        <v>0</v>
      </c>
      <c r="E7" s="22" t="s">
        <v>58</v>
      </c>
      <c r="F7" s="23"/>
      <c r="G7" s="24"/>
    </row>
    <row r="8" ht="19.5" customHeight="1">
      <c r="A8" s="27" t="s">
        <v>59</v>
      </c>
      <c r="B8" s="28"/>
      <c r="C8" s="29"/>
      <c r="D8" s="30">
        <f>IFERROR(D6/(D6+D7), 0)</f>
        <v>1</v>
      </c>
      <c r="E8" s="37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33" t="s">
        <v>62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ht="19.5" customHeight="1">
      <c r="A13" s="34" t="s">
        <v>21</v>
      </c>
      <c r="B13" s="35" t="s">
        <v>73</v>
      </c>
      <c r="C13" s="34" t="s">
        <v>15</v>
      </c>
      <c r="D13" s="34" t="s">
        <v>6</v>
      </c>
      <c r="E13" s="35" t="s">
        <v>76</v>
      </c>
      <c r="F13" s="36"/>
    </row>
    <row r="14" ht="19.5" customHeight="1">
      <c r="A14" s="34" t="s">
        <v>21</v>
      </c>
      <c r="B14" s="35" t="s">
        <v>79</v>
      </c>
      <c r="C14" s="34" t="s">
        <v>18</v>
      </c>
      <c r="D14" s="34" t="s">
        <v>9</v>
      </c>
      <c r="E14" s="35" t="s">
        <v>81</v>
      </c>
      <c r="F14" s="36"/>
    </row>
    <row r="15" ht="19.5" customHeight="1">
      <c r="A15" s="34" t="s">
        <v>21</v>
      </c>
      <c r="B15" s="35" t="s">
        <v>83</v>
      </c>
      <c r="C15" s="34" t="s">
        <v>18</v>
      </c>
      <c r="D15" s="34" t="s">
        <v>9</v>
      </c>
      <c r="E15" s="35" t="s">
        <v>85</v>
      </c>
      <c r="F15" s="34" t="s">
        <v>86</v>
      </c>
    </row>
    <row r="16" ht="19.5" customHeight="1">
      <c r="A16" s="34" t="s">
        <v>21</v>
      </c>
      <c r="B16" s="35" t="s">
        <v>88</v>
      </c>
      <c r="C16" s="34" t="s">
        <v>18</v>
      </c>
      <c r="D16" s="34" t="s">
        <v>9</v>
      </c>
      <c r="E16" s="35" t="s">
        <v>90</v>
      </c>
      <c r="F16" s="36"/>
    </row>
    <row r="17" ht="19.5" customHeight="1">
      <c r="A17" s="34" t="s">
        <v>21</v>
      </c>
      <c r="B17" s="35" t="s">
        <v>92</v>
      </c>
      <c r="C17" s="34" t="s">
        <v>18</v>
      </c>
      <c r="D17" s="34" t="s">
        <v>3</v>
      </c>
      <c r="E17" s="39" t="s">
        <v>93</v>
      </c>
      <c r="F17" s="36"/>
    </row>
    <row r="18" ht="19.5" customHeight="1">
      <c r="A18" s="34" t="s">
        <v>21</v>
      </c>
      <c r="B18" s="35" t="s">
        <v>95</v>
      </c>
      <c r="C18" s="34" t="s">
        <v>18</v>
      </c>
      <c r="D18" s="34" t="s">
        <v>9</v>
      </c>
      <c r="E18" s="35" t="s">
        <v>97</v>
      </c>
      <c r="F18" s="36"/>
    </row>
    <row r="19" ht="19.5" customHeight="1">
      <c r="A19" s="34" t="s">
        <v>21</v>
      </c>
      <c r="B19" s="35" t="s">
        <v>99</v>
      </c>
      <c r="C19" s="34" t="s">
        <v>13</v>
      </c>
      <c r="D19" s="34" t="s">
        <v>3</v>
      </c>
      <c r="E19" s="35" t="s">
        <v>102</v>
      </c>
      <c r="F19" s="36"/>
    </row>
    <row r="20" ht="19.5" customHeight="1">
      <c r="A20" s="34" t="s">
        <v>21</v>
      </c>
      <c r="B20" s="35" t="s">
        <v>103</v>
      </c>
      <c r="C20" s="34" t="s">
        <v>13</v>
      </c>
      <c r="D20" s="34" t="s">
        <v>3</v>
      </c>
      <c r="E20" s="35" t="s">
        <v>102</v>
      </c>
      <c r="F20" s="36"/>
    </row>
    <row r="21" ht="19.5" customHeight="1">
      <c r="A21" s="34" t="s">
        <v>21</v>
      </c>
      <c r="B21" s="35" t="s">
        <v>106</v>
      </c>
      <c r="C21" s="34" t="s">
        <v>13</v>
      </c>
      <c r="D21" s="34" t="s">
        <v>3</v>
      </c>
      <c r="E21" s="35" t="s">
        <v>97</v>
      </c>
      <c r="F21" s="36"/>
    </row>
    <row r="22" ht="19.5" customHeight="1">
      <c r="A22" s="34" t="s">
        <v>21</v>
      </c>
      <c r="B22" s="35" t="s">
        <v>108</v>
      </c>
      <c r="C22" s="34" t="s">
        <v>13</v>
      </c>
      <c r="D22" s="34" t="s">
        <v>6</v>
      </c>
      <c r="E22" s="35" t="s">
        <v>97</v>
      </c>
      <c r="F22" s="36"/>
    </row>
    <row r="23" ht="19.5" customHeight="1">
      <c r="A23" s="34" t="s">
        <v>21</v>
      </c>
      <c r="B23" s="35" t="s">
        <v>109</v>
      </c>
      <c r="C23" s="34" t="s">
        <v>13</v>
      </c>
      <c r="D23" s="34" t="s">
        <v>6</v>
      </c>
      <c r="E23" s="35" t="s">
        <v>102</v>
      </c>
      <c r="F23" s="36"/>
    </row>
    <row r="24" ht="19.5" customHeight="1">
      <c r="A24" s="34" t="s">
        <v>21</v>
      </c>
      <c r="B24" s="35" t="s">
        <v>110</v>
      </c>
      <c r="C24" s="34" t="s">
        <v>13</v>
      </c>
      <c r="D24" s="34" t="s">
        <v>9</v>
      </c>
      <c r="E24" s="35" t="s">
        <v>111</v>
      </c>
      <c r="F24" s="36"/>
    </row>
    <row r="25" ht="19.5" customHeight="1">
      <c r="A25" s="34" t="s">
        <v>21</v>
      </c>
      <c r="B25" s="35" t="s">
        <v>112</v>
      </c>
      <c r="C25" s="34" t="s">
        <v>13</v>
      </c>
      <c r="D25" s="34" t="s">
        <v>9</v>
      </c>
      <c r="E25" s="35" t="s">
        <v>113</v>
      </c>
      <c r="F25" s="36"/>
    </row>
    <row r="26" ht="19.5" customHeight="1">
      <c r="A26" s="34" t="s">
        <v>21</v>
      </c>
      <c r="B26" s="35" t="s">
        <v>114</v>
      </c>
      <c r="C26" s="34" t="s">
        <v>15</v>
      </c>
      <c r="D26" s="34" t="s">
        <v>3</v>
      </c>
      <c r="E26" s="35" t="s">
        <v>115</v>
      </c>
      <c r="F26" s="36"/>
    </row>
    <row r="27" ht="19.5" customHeight="1">
      <c r="A27" s="34" t="s">
        <v>21</v>
      </c>
      <c r="B27" s="35" t="s">
        <v>116</v>
      </c>
      <c r="C27" s="34" t="s">
        <v>15</v>
      </c>
      <c r="D27" s="34" t="s">
        <v>6</v>
      </c>
      <c r="E27" s="35" t="s">
        <v>118</v>
      </c>
      <c r="F27" s="36"/>
    </row>
    <row r="28" ht="19.5" customHeight="1">
      <c r="A28" s="34" t="s">
        <v>21</v>
      </c>
      <c r="B28" s="35" t="s">
        <v>119</v>
      </c>
      <c r="C28" s="34" t="s">
        <v>15</v>
      </c>
      <c r="D28" s="34" t="s">
        <v>9</v>
      </c>
      <c r="E28" s="35" t="s">
        <v>121</v>
      </c>
      <c r="F28" s="36"/>
    </row>
    <row r="29" ht="19.5" customHeight="1">
      <c r="A29" s="34" t="s">
        <v>21</v>
      </c>
      <c r="B29" s="35" t="s">
        <v>122</v>
      </c>
      <c r="C29" s="34" t="s">
        <v>15</v>
      </c>
      <c r="D29" s="34" t="s">
        <v>9</v>
      </c>
      <c r="E29" s="35" t="s">
        <v>97</v>
      </c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34" t="s">
        <v>23</v>
      </c>
      <c r="B35" s="34" t="s">
        <v>13</v>
      </c>
      <c r="C35" s="34" t="s">
        <v>6</v>
      </c>
      <c r="D35" s="35" t="s">
        <v>137</v>
      </c>
      <c r="E35" s="35" t="s">
        <v>133</v>
      </c>
      <c r="F35" s="35" t="s">
        <v>138</v>
      </c>
      <c r="G35" s="34" t="s">
        <v>135</v>
      </c>
    </row>
    <row r="36" ht="19.5" customHeight="1">
      <c r="A36" s="34" t="s">
        <v>21</v>
      </c>
      <c r="B36" s="34" t="s">
        <v>13</v>
      </c>
      <c r="C36" s="34" t="s">
        <v>6</v>
      </c>
      <c r="D36" s="35" t="s">
        <v>109</v>
      </c>
      <c r="E36" s="35" t="s">
        <v>133</v>
      </c>
      <c r="F36" s="35" t="s">
        <v>138</v>
      </c>
      <c r="G36" s="34" t="s">
        <v>135</v>
      </c>
    </row>
    <row r="37" ht="19.5" customHeight="1">
      <c r="A37" s="36"/>
      <c r="B37" s="36"/>
      <c r="C37" s="36"/>
      <c r="D37" s="40"/>
      <c r="E37" s="40"/>
      <c r="F37" s="40"/>
      <c r="G37" s="36"/>
    </row>
    <row r="38" ht="19.5" customHeight="1">
      <c r="A38" s="36"/>
      <c r="B38" s="36"/>
      <c r="C38" s="36"/>
      <c r="D38" s="40"/>
      <c r="E38" s="40"/>
      <c r="F38" s="40"/>
      <c r="G38" s="36"/>
    </row>
    <row r="39" ht="19.5" customHeight="1">
      <c r="A39" s="36"/>
      <c r="B39" s="36"/>
      <c r="C39" s="36"/>
      <c r="D39" s="40"/>
      <c r="E39" s="40"/>
      <c r="F39" s="40"/>
      <c r="G39" s="36"/>
    </row>
    <row r="40" ht="19.5" customHeight="1">
      <c r="A40" s="36"/>
      <c r="B40" s="36"/>
      <c r="C40" s="36"/>
      <c r="D40" s="40"/>
      <c r="E40" s="40"/>
      <c r="F40" s="40"/>
      <c r="G40" s="36"/>
    </row>
    <row r="41" ht="19.5" customHeight="1">
      <c r="A41" s="36"/>
      <c r="B41" s="36"/>
      <c r="C41" s="36"/>
      <c r="D41" s="40"/>
      <c r="E41" s="40"/>
      <c r="F41" s="40"/>
      <c r="G41" s="36"/>
    </row>
    <row r="42" ht="19.5" customHeight="1">
      <c r="A42" s="36"/>
      <c r="B42" s="36"/>
      <c r="C42" s="36"/>
      <c r="D42" s="40"/>
      <c r="E42" s="40"/>
      <c r="F42" s="40"/>
      <c r="G42" s="36"/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43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69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41</v>
      </c>
      <c r="B3" s="15"/>
      <c r="C3" s="16"/>
      <c r="D3" s="21">
        <f>COUNTA(B13:B32) + COUNTA(D35:D70)</f>
        <v>0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21">
        <f>COUNTA(B13:B32)</f>
        <v>0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21">
        <f>COUNTA(E35:E70)</f>
        <v>0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21">
        <f>COUNTIF(G35:G70, "تم الحل")</f>
        <v>0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21">
        <f>COUNTIF(G35:G70, "مستمرة")</f>
        <v>0</v>
      </c>
      <c r="E7" s="22" t="s">
        <v>58</v>
      </c>
      <c r="F7" s="23"/>
      <c r="G7" s="24"/>
    </row>
    <row r="8" ht="19.5" customHeight="1">
      <c r="A8" s="27" t="s">
        <v>59</v>
      </c>
      <c r="B8" s="28"/>
      <c r="C8" s="29"/>
      <c r="D8" s="30">
        <f>IFERROR(D6/(D6+D7), 0)</f>
        <v>0</v>
      </c>
      <c r="E8" s="31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33" t="s">
        <v>62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ht="19.5" customHeight="1">
      <c r="A13" s="36"/>
      <c r="B13" s="40"/>
      <c r="C13" s="36"/>
      <c r="D13" s="36"/>
      <c r="E13" s="40"/>
      <c r="F13" s="36"/>
    </row>
    <row r="14" ht="19.5" customHeight="1">
      <c r="A14" s="36"/>
      <c r="B14" s="40"/>
      <c r="C14" s="36"/>
      <c r="D14" s="36"/>
      <c r="E14" s="40"/>
      <c r="F14" s="36"/>
    </row>
    <row r="15" ht="19.5" customHeight="1">
      <c r="A15" s="36"/>
      <c r="B15" s="40"/>
      <c r="C15" s="36"/>
      <c r="D15" s="36"/>
      <c r="E15" s="40"/>
      <c r="F15" s="36"/>
    </row>
    <row r="16" ht="19.5" customHeight="1">
      <c r="A16" s="36"/>
      <c r="B16" s="40"/>
      <c r="C16" s="36"/>
      <c r="D16" s="36"/>
      <c r="E16" s="40"/>
      <c r="F16" s="36"/>
    </row>
    <row r="17" ht="19.5" customHeight="1">
      <c r="A17" s="36"/>
      <c r="B17" s="40"/>
      <c r="C17" s="36"/>
      <c r="D17" s="36"/>
      <c r="E17" s="40"/>
      <c r="F17" s="36"/>
    </row>
    <row r="18" ht="19.5" customHeight="1">
      <c r="A18" s="36"/>
      <c r="B18" s="40"/>
      <c r="C18" s="36"/>
      <c r="D18" s="36"/>
      <c r="E18" s="40"/>
      <c r="F18" s="36"/>
    </row>
    <row r="19" ht="19.5" customHeight="1">
      <c r="A19" s="36"/>
      <c r="B19" s="40"/>
      <c r="C19" s="36"/>
      <c r="D19" s="36"/>
      <c r="E19" s="40"/>
      <c r="F19" s="36"/>
    </row>
    <row r="20" ht="19.5" customHeight="1">
      <c r="A20" s="36"/>
      <c r="B20" s="40"/>
      <c r="C20" s="36"/>
      <c r="D20" s="36"/>
      <c r="E20" s="40"/>
      <c r="F20" s="36"/>
    </row>
    <row r="21" ht="19.5" customHeight="1">
      <c r="A21" s="36"/>
      <c r="B21" s="40"/>
      <c r="C21" s="36"/>
      <c r="D21" s="36"/>
      <c r="E21" s="40"/>
      <c r="F21" s="36"/>
    </row>
    <row r="22" ht="19.5" customHeight="1">
      <c r="A22" s="36"/>
      <c r="B22" s="40"/>
      <c r="C22" s="36"/>
      <c r="D22" s="36"/>
      <c r="E22" s="40"/>
      <c r="F22" s="36"/>
    </row>
    <row r="23" ht="19.5" customHeight="1">
      <c r="A23" s="36"/>
      <c r="B23" s="40"/>
      <c r="C23" s="36"/>
      <c r="D23" s="36"/>
      <c r="E23" s="40"/>
      <c r="F23" s="36"/>
    </row>
    <row r="24" ht="19.5" customHeight="1">
      <c r="A24" s="36"/>
      <c r="B24" s="40"/>
      <c r="C24" s="36"/>
      <c r="D24" s="36"/>
      <c r="E24" s="40"/>
      <c r="F24" s="36"/>
    </row>
    <row r="25" ht="19.5" customHeight="1">
      <c r="A25" s="36"/>
      <c r="B25" s="40"/>
      <c r="C25" s="36"/>
      <c r="D25" s="36"/>
      <c r="E25" s="40"/>
      <c r="F25" s="36"/>
    </row>
    <row r="26" ht="19.5" customHeight="1">
      <c r="A26" s="36"/>
      <c r="B26" s="40"/>
      <c r="C26" s="36"/>
      <c r="D26" s="36"/>
      <c r="E26" s="40"/>
      <c r="F26" s="36"/>
    </row>
    <row r="27" ht="19.5" customHeight="1">
      <c r="A27" s="36"/>
      <c r="B27" s="40"/>
      <c r="C27" s="36"/>
      <c r="D27" s="36"/>
      <c r="E27" s="40"/>
      <c r="F27" s="36"/>
    </row>
    <row r="28" ht="19.5" customHeight="1">
      <c r="A28" s="36"/>
      <c r="B28" s="40"/>
      <c r="C28" s="36"/>
      <c r="D28" s="36"/>
      <c r="E28" s="40"/>
      <c r="F28" s="36"/>
    </row>
    <row r="29" ht="19.5" customHeight="1">
      <c r="A29" s="36"/>
      <c r="B29" s="40"/>
      <c r="C29" s="36"/>
      <c r="D29" s="36"/>
      <c r="E29" s="40"/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36"/>
      <c r="B35" s="36"/>
      <c r="C35" s="36"/>
      <c r="D35" s="40"/>
      <c r="E35" s="40"/>
      <c r="F35" s="40"/>
      <c r="G35" s="36"/>
    </row>
    <row r="36" ht="19.5" customHeight="1">
      <c r="A36" s="36"/>
      <c r="B36" s="36"/>
      <c r="C36" s="36"/>
      <c r="D36" s="40"/>
      <c r="E36" s="40"/>
      <c r="F36" s="40"/>
      <c r="G36" s="36"/>
    </row>
    <row r="37" ht="19.5" customHeight="1">
      <c r="A37" s="36"/>
      <c r="B37" s="36"/>
      <c r="C37" s="36"/>
      <c r="D37" s="40"/>
      <c r="E37" s="40"/>
      <c r="F37" s="40"/>
      <c r="G37" s="36"/>
    </row>
    <row r="38" ht="19.5" customHeight="1">
      <c r="A38" s="36"/>
      <c r="B38" s="36"/>
      <c r="C38" s="36"/>
      <c r="D38" s="40"/>
      <c r="E38" s="40"/>
      <c r="F38" s="40"/>
      <c r="G38" s="36"/>
    </row>
    <row r="39" ht="19.5" customHeight="1">
      <c r="A39" s="36"/>
      <c r="B39" s="36"/>
      <c r="C39" s="36"/>
      <c r="D39" s="40"/>
      <c r="E39" s="40"/>
      <c r="F39" s="40"/>
      <c r="G39" s="36"/>
    </row>
    <row r="40" ht="19.5" customHeight="1">
      <c r="A40" s="36"/>
      <c r="B40" s="36"/>
      <c r="C40" s="36"/>
      <c r="D40" s="40"/>
      <c r="E40" s="40"/>
      <c r="F40" s="40"/>
      <c r="G40" s="36"/>
    </row>
    <row r="41" ht="19.5" customHeight="1">
      <c r="A41" s="36"/>
      <c r="B41" s="36"/>
      <c r="C41" s="36"/>
      <c r="D41" s="40"/>
      <c r="E41" s="40"/>
      <c r="F41" s="40"/>
      <c r="G41" s="36"/>
    </row>
    <row r="42" ht="19.5" customHeight="1">
      <c r="A42" s="36"/>
      <c r="B42" s="36"/>
      <c r="C42" s="36"/>
      <c r="D42" s="40"/>
      <c r="E42" s="40"/>
      <c r="F42" s="40"/>
      <c r="G42" s="36"/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6.14"/>
    <col customWidth="1" min="4" max="4" width="24.0"/>
    <col customWidth="1" min="5" max="5" width="120.29"/>
    <col customWidth="1" min="6" max="6" width="50.29"/>
    <col customWidth="1" min="7" max="7" width="20.0"/>
    <col customWidth="1" min="8" max="26" width="8.71"/>
  </cols>
  <sheetData>
    <row r="1" ht="34.5" customHeight="1">
      <c r="A1" s="2" t="s">
        <v>150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152</v>
      </c>
      <c r="B3" s="15"/>
      <c r="C3" s="16"/>
      <c r="D3" s="43">
        <f>COUNTA(B13:B32) + COUNTA(D35:D70)</f>
        <v>17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43">
        <f>COUNTA(B13:B32)</f>
        <v>12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43">
        <f>COUNTA(E35:E70)</f>
        <v>5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43">
        <f>COUNTIF(G35:G70, "تم الحل")</f>
        <v>0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43">
        <f>COUNTIF(G35:G70, "مستمرة")</f>
        <v>0</v>
      </c>
      <c r="E7" s="22" t="s">
        <v>58</v>
      </c>
      <c r="F7" s="23"/>
      <c r="G7" s="24"/>
    </row>
    <row r="8" ht="19.5" customHeight="1">
      <c r="A8" s="27" t="s">
        <v>59</v>
      </c>
      <c r="B8" s="28"/>
      <c r="C8" s="29"/>
      <c r="D8" s="44">
        <f>IFERROR(D6/(D6+D7), 0)</f>
        <v>0</v>
      </c>
      <c r="E8" s="31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45" t="s">
        <v>62</v>
      </c>
      <c r="B12" s="45" t="s">
        <v>63</v>
      </c>
      <c r="C12" s="45" t="s">
        <v>64</v>
      </c>
      <c r="D12" s="45" t="s">
        <v>65</v>
      </c>
      <c r="E12" s="45" t="s">
        <v>66</v>
      </c>
      <c r="F12" s="45" t="s">
        <v>67</v>
      </c>
    </row>
    <row r="13" ht="19.5" customHeight="1">
      <c r="A13" s="47" t="s">
        <v>21</v>
      </c>
      <c r="B13" s="48" t="s">
        <v>157</v>
      </c>
      <c r="C13" s="50" t="s">
        <v>18</v>
      </c>
      <c r="D13" s="50" t="s">
        <v>6</v>
      </c>
      <c r="E13" s="48" t="s">
        <v>160</v>
      </c>
      <c r="F13" s="50" t="s">
        <v>161</v>
      </c>
    </row>
    <row r="14" ht="19.5" customHeight="1">
      <c r="A14" s="50" t="s">
        <v>21</v>
      </c>
      <c r="B14" s="48" t="s">
        <v>163</v>
      </c>
      <c r="C14" s="50" t="s">
        <v>15</v>
      </c>
      <c r="D14" s="50" t="s">
        <v>3</v>
      </c>
      <c r="E14" s="48" t="s">
        <v>165</v>
      </c>
      <c r="F14" s="50" t="s">
        <v>166</v>
      </c>
    </row>
    <row r="15" ht="19.5" customHeight="1">
      <c r="A15" s="50" t="s">
        <v>21</v>
      </c>
      <c r="B15" s="48" t="s">
        <v>168</v>
      </c>
      <c r="C15" s="50" t="s">
        <v>15</v>
      </c>
      <c r="D15" s="50" t="s">
        <v>6</v>
      </c>
      <c r="E15" s="48" t="s">
        <v>170</v>
      </c>
      <c r="F15" s="50" t="s">
        <v>172</v>
      </c>
    </row>
    <row r="16" ht="19.5" customHeight="1">
      <c r="A16" s="50" t="s">
        <v>21</v>
      </c>
      <c r="B16" s="48" t="s">
        <v>174</v>
      </c>
      <c r="C16" s="50" t="s">
        <v>13</v>
      </c>
      <c r="D16" s="50" t="s">
        <v>3</v>
      </c>
      <c r="E16" s="48" t="s">
        <v>176</v>
      </c>
      <c r="F16" s="50" t="s">
        <v>177</v>
      </c>
    </row>
    <row r="17" ht="19.5" customHeight="1">
      <c r="A17" s="50" t="s">
        <v>21</v>
      </c>
      <c r="B17" s="48" t="s">
        <v>179</v>
      </c>
      <c r="C17" s="50" t="s">
        <v>13</v>
      </c>
      <c r="D17" s="50" t="s">
        <v>3</v>
      </c>
      <c r="E17" s="48" t="s">
        <v>181</v>
      </c>
      <c r="F17" s="50" t="s">
        <v>177</v>
      </c>
    </row>
    <row r="18" ht="19.5" customHeight="1">
      <c r="A18" s="50" t="s">
        <v>21</v>
      </c>
      <c r="B18" s="48" t="s">
        <v>182</v>
      </c>
      <c r="C18" s="50" t="s">
        <v>13</v>
      </c>
      <c r="D18" s="50" t="s">
        <v>3</v>
      </c>
      <c r="E18" s="48" t="s">
        <v>160</v>
      </c>
      <c r="F18" s="50" t="s">
        <v>177</v>
      </c>
    </row>
    <row r="19" ht="19.5" customHeight="1">
      <c r="A19" s="50" t="s">
        <v>21</v>
      </c>
      <c r="B19" s="48" t="s">
        <v>184</v>
      </c>
      <c r="C19" s="50" t="s">
        <v>18</v>
      </c>
      <c r="D19" s="50" t="s">
        <v>3</v>
      </c>
      <c r="E19" s="48" t="s">
        <v>170</v>
      </c>
      <c r="F19" s="50" t="s">
        <v>161</v>
      </c>
    </row>
    <row r="20" ht="19.5" customHeight="1">
      <c r="A20" s="52" t="s">
        <v>21</v>
      </c>
      <c r="B20" s="48" t="s">
        <v>186</v>
      </c>
      <c r="C20" s="50" t="s">
        <v>18</v>
      </c>
      <c r="D20" s="50" t="s">
        <v>3</v>
      </c>
      <c r="E20" s="48" t="s">
        <v>188</v>
      </c>
      <c r="F20" s="50" t="s">
        <v>166</v>
      </c>
    </row>
    <row r="21" ht="19.5" customHeight="1">
      <c r="A21" s="50" t="s">
        <v>21</v>
      </c>
      <c r="B21" s="48" t="s">
        <v>189</v>
      </c>
      <c r="C21" s="50" t="s">
        <v>18</v>
      </c>
      <c r="D21" s="50" t="s">
        <v>9</v>
      </c>
      <c r="E21" s="48" t="s">
        <v>190</v>
      </c>
      <c r="F21" s="50" t="s">
        <v>161</v>
      </c>
    </row>
    <row r="22" ht="19.5" customHeight="1">
      <c r="A22" s="50" t="s">
        <v>21</v>
      </c>
      <c r="B22" s="48" t="s">
        <v>191</v>
      </c>
      <c r="C22" s="50" t="s">
        <v>18</v>
      </c>
      <c r="D22" s="50" t="s">
        <v>9</v>
      </c>
      <c r="E22" s="48" t="s">
        <v>192</v>
      </c>
      <c r="F22" s="50" t="s">
        <v>161</v>
      </c>
    </row>
    <row r="23" ht="19.5" customHeight="1">
      <c r="A23" s="50" t="s">
        <v>21</v>
      </c>
      <c r="B23" s="48" t="s">
        <v>193</v>
      </c>
      <c r="C23" s="50" t="s">
        <v>13</v>
      </c>
      <c r="D23" s="56" t="s">
        <v>6</v>
      </c>
      <c r="E23" s="48" t="s">
        <v>194</v>
      </c>
      <c r="F23" s="58" t="s">
        <v>196</v>
      </c>
    </row>
    <row r="24" ht="19.5" customHeight="1">
      <c r="A24" s="50" t="s">
        <v>21</v>
      </c>
      <c r="B24" s="48" t="s">
        <v>199</v>
      </c>
      <c r="C24" s="50" t="s">
        <v>13</v>
      </c>
      <c r="D24" s="50" t="s">
        <v>3</v>
      </c>
      <c r="E24" s="48" t="s">
        <v>202</v>
      </c>
      <c r="F24" s="50" t="s">
        <v>161</v>
      </c>
    </row>
    <row r="25" ht="19.5" customHeight="1">
      <c r="A25" s="36"/>
      <c r="B25" s="40"/>
      <c r="C25" s="36"/>
      <c r="D25" s="36"/>
      <c r="E25" s="40"/>
      <c r="F25" s="36"/>
    </row>
    <row r="26" ht="19.5" customHeight="1">
      <c r="A26" s="36"/>
      <c r="B26" s="40"/>
      <c r="C26" s="36"/>
      <c r="D26" s="36"/>
      <c r="E26" s="40"/>
      <c r="F26" s="36"/>
    </row>
    <row r="27" ht="19.5" customHeight="1">
      <c r="A27" s="36"/>
      <c r="B27" s="40"/>
      <c r="C27" s="36"/>
      <c r="D27" s="36"/>
      <c r="E27" s="40"/>
      <c r="F27" s="36"/>
    </row>
    <row r="28" ht="19.5" customHeight="1">
      <c r="A28" s="36"/>
      <c r="B28" s="40"/>
      <c r="C28" s="36"/>
      <c r="D28" s="36"/>
      <c r="E28" s="40"/>
      <c r="F28" s="36"/>
    </row>
    <row r="29" ht="19.5" customHeight="1">
      <c r="A29" s="36"/>
      <c r="B29" s="40"/>
      <c r="C29" s="36"/>
      <c r="D29" s="36"/>
      <c r="E29" s="40"/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50" t="s">
        <v>21</v>
      </c>
      <c r="B35" s="50" t="s">
        <v>13</v>
      </c>
      <c r="C35" s="50" t="s">
        <v>3</v>
      </c>
      <c r="D35" s="48" t="s">
        <v>220</v>
      </c>
      <c r="E35" s="48" t="s">
        <v>221</v>
      </c>
      <c r="F35" s="48" t="s">
        <v>222</v>
      </c>
      <c r="G35" s="62"/>
    </row>
    <row r="36" ht="19.5" customHeight="1">
      <c r="A36" s="50" t="s">
        <v>21</v>
      </c>
      <c r="B36" s="50" t="s">
        <v>13</v>
      </c>
      <c r="C36" s="50" t="s">
        <v>6</v>
      </c>
      <c r="D36" s="48" t="s">
        <v>223</v>
      </c>
      <c r="E36" s="48" t="s">
        <v>224</v>
      </c>
      <c r="F36" s="48" t="s">
        <v>225</v>
      </c>
      <c r="G36" s="62"/>
    </row>
    <row r="37" ht="19.5" customHeight="1">
      <c r="A37" s="50" t="s">
        <v>21</v>
      </c>
      <c r="B37" s="50" t="s">
        <v>18</v>
      </c>
      <c r="C37" s="50" t="s">
        <v>9</v>
      </c>
      <c r="D37" s="48" t="s">
        <v>226</v>
      </c>
      <c r="E37" s="48" t="s">
        <v>227</v>
      </c>
      <c r="F37" s="48" t="s">
        <v>228</v>
      </c>
      <c r="G37" s="62"/>
    </row>
    <row r="38" ht="19.5" customHeight="1">
      <c r="A38" s="50" t="s">
        <v>21</v>
      </c>
      <c r="B38" s="50" t="s">
        <v>15</v>
      </c>
      <c r="C38" s="50" t="s">
        <v>9</v>
      </c>
      <c r="D38" s="48" t="s">
        <v>229</v>
      </c>
      <c r="E38" s="48" t="s">
        <v>230</v>
      </c>
      <c r="F38" s="48" t="s">
        <v>231</v>
      </c>
      <c r="G38" s="62"/>
    </row>
    <row r="39" ht="19.5" customHeight="1">
      <c r="A39" s="50" t="s">
        <v>21</v>
      </c>
      <c r="B39" s="50" t="s">
        <v>13</v>
      </c>
      <c r="C39" s="50" t="s">
        <v>6</v>
      </c>
      <c r="D39" s="48" t="s">
        <v>232</v>
      </c>
      <c r="E39" s="48" t="s">
        <v>233</v>
      </c>
      <c r="F39" s="48" t="s">
        <v>234</v>
      </c>
      <c r="G39" s="62"/>
    </row>
    <row r="40" ht="19.5" customHeight="1">
      <c r="A40" s="62"/>
      <c r="B40" s="62"/>
      <c r="C40" s="62"/>
      <c r="D40" s="63"/>
      <c r="E40" s="63"/>
      <c r="F40" s="63"/>
      <c r="G40" s="62"/>
    </row>
    <row r="41" ht="19.5" customHeight="1">
      <c r="A41" s="62"/>
      <c r="B41" s="62"/>
      <c r="C41" s="62"/>
      <c r="D41" s="63"/>
      <c r="E41" s="63"/>
      <c r="F41" s="63"/>
      <c r="G41" s="62"/>
    </row>
    <row r="42" ht="19.5" customHeight="1">
      <c r="A42" s="36"/>
      <c r="B42" s="36"/>
      <c r="C42" s="36"/>
      <c r="D42" s="40"/>
      <c r="E42" s="40"/>
      <c r="F42" s="40"/>
      <c r="G42" s="36"/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29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151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152</v>
      </c>
      <c r="B3" s="15"/>
      <c r="C3" s="16"/>
      <c r="D3" s="21">
        <f>COUNTA(B13:B32) + COUNTA(D35:D70)</f>
        <v>23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21">
        <f>COUNTA(B13:B32)</f>
        <v>15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21">
        <f>COUNTA(E35:E70)</f>
        <v>8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21">
        <f>COUNTIF(G35:G70, "تم الحل")</f>
        <v>8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21">
        <f>COUNTIF(G35:G70, "مستمرة")</f>
        <v>0</v>
      </c>
      <c r="E7" s="22" t="s">
        <v>58</v>
      </c>
      <c r="F7" s="23"/>
      <c r="G7" s="24"/>
    </row>
    <row r="8" ht="19.5" customHeight="1">
      <c r="A8" s="27" t="s">
        <v>59</v>
      </c>
      <c r="B8" s="28"/>
      <c r="C8" s="29"/>
      <c r="D8" s="30">
        <f>IFERROR(D6/(D6+D7), 0)</f>
        <v>1</v>
      </c>
      <c r="E8" s="31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33" t="s">
        <v>62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ht="19.5" customHeight="1">
      <c r="A13" s="34" t="s">
        <v>21</v>
      </c>
      <c r="B13" s="35" t="s">
        <v>155</v>
      </c>
      <c r="C13" s="34" t="s">
        <v>20</v>
      </c>
      <c r="D13" s="34" t="s">
        <v>3</v>
      </c>
      <c r="E13" s="35" t="s">
        <v>156</v>
      </c>
      <c r="F13" s="49">
        <v>46308.0</v>
      </c>
    </row>
    <row r="14" ht="19.5" customHeight="1">
      <c r="A14" s="34" t="s">
        <v>21</v>
      </c>
      <c r="B14" s="35" t="s">
        <v>158</v>
      </c>
      <c r="C14" s="34" t="s">
        <v>20</v>
      </c>
      <c r="D14" s="34" t="s">
        <v>3</v>
      </c>
      <c r="E14" s="35" t="s">
        <v>159</v>
      </c>
      <c r="F14" s="49">
        <v>46306.0</v>
      </c>
    </row>
    <row r="15" ht="19.5" customHeight="1">
      <c r="A15" s="34" t="s">
        <v>21</v>
      </c>
      <c r="B15" s="35" t="s">
        <v>162</v>
      </c>
      <c r="C15" s="34" t="s">
        <v>20</v>
      </c>
      <c r="D15" s="34" t="s">
        <v>3</v>
      </c>
      <c r="E15" s="35" t="s">
        <v>164</v>
      </c>
      <c r="F15" s="49">
        <v>46308.0</v>
      </c>
    </row>
    <row r="16" ht="19.5" customHeight="1">
      <c r="A16" s="34" t="s">
        <v>21</v>
      </c>
      <c r="B16" s="35" t="s">
        <v>167</v>
      </c>
      <c r="C16" s="34" t="s">
        <v>20</v>
      </c>
      <c r="D16" s="34" t="s">
        <v>6</v>
      </c>
      <c r="E16" s="35" t="s">
        <v>169</v>
      </c>
      <c r="F16" s="34" t="s">
        <v>171</v>
      </c>
    </row>
    <row r="17" ht="19.5" customHeight="1">
      <c r="A17" s="34" t="s">
        <v>21</v>
      </c>
      <c r="B17" s="35" t="s">
        <v>173</v>
      </c>
      <c r="C17" s="34" t="s">
        <v>20</v>
      </c>
      <c r="D17" s="34" t="s">
        <v>6</v>
      </c>
      <c r="E17" s="35" t="s">
        <v>175</v>
      </c>
      <c r="F17" s="49">
        <v>46306.0</v>
      </c>
    </row>
    <row r="18" ht="19.5" customHeight="1">
      <c r="A18" s="34" t="s">
        <v>21</v>
      </c>
      <c r="B18" s="35" t="s">
        <v>178</v>
      </c>
      <c r="C18" s="34" t="s">
        <v>20</v>
      </c>
      <c r="D18" s="34" t="s">
        <v>9</v>
      </c>
      <c r="E18" s="35" t="s">
        <v>180</v>
      </c>
      <c r="F18" s="49">
        <v>46306.0</v>
      </c>
    </row>
    <row r="19" ht="19.5" customHeight="1">
      <c r="A19" s="34" t="s">
        <v>21</v>
      </c>
      <c r="B19" s="35" t="s">
        <v>183</v>
      </c>
      <c r="C19" s="34" t="s">
        <v>22</v>
      </c>
      <c r="D19" s="34" t="s">
        <v>3</v>
      </c>
      <c r="E19" s="55" t="s">
        <v>185</v>
      </c>
      <c r="F19" s="49">
        <v>46308.0</v>
      </c>
    </row>
    <row r="20" ht="19.5" customHeight="1">
      <c r="A20" s="34" t="s">
        <v>21</v>
      </c>
      <c r="B20" s="35" t="s">
        <v>195</v>
      </c>
      <c r="C20" s="34" t="s">
        <v>22</v>
      </c>
      <c r="D20" s="34" t="s">
        <v>3</v>
      </c>
      <c r="E20" s="35" t="s">
        <v>198</v>
      </c>
      <c r="F20" s="49">
        <v>46307.0</v>
      </c>
    </row>
    <row r="21" ht="19.5" customHeight="1">
      <c r="A21" s="34" t="s">
        <v>21</v>
      </c>
      <c r="B21" s="35" t="s">
        <v>200</v>
      </c>
      <c r="C21" s="34" t="s">
        <v>22</v>
      </c>
      <c r="D21" s="34" t="s">
        <v>6</v>
      </c>
      <c r="E21" s="35" t="s">
        <v>203</v>
      </c>
      <c r="F21" s="49">
        <v>46307.0</v>
      </c>
    </row>
    <row r="22" ht="19.5" customHeight="1">
      <c r="A22" s="34" t="s">
        <v>21</v>
      </c>
      <c r="B22" s="35" t="s">
        <v>204</v>
      </c>
      <c r="C22" s="34" t="s">
        <v>22</v>
      </c>
      <c r="D22" s="34" t="s">
        <v>6</v>
      </c>
      <c r="E22" s="55" t="s">
        <v>206</v>
      </c>
      <c r="F22" s="49">
        <v>46307.0</v>
      </c>
    </row>
    <row r="23" ht="19.5" customHeight="1">
      <c r="A23" s="34" t="s">
        <v>21</v>
      </c>
      <c r="B23" s="35" t="s">
        <v>208</v>
      </c>
      <c r="C23" s="34" t="s">
        <v>22</v>
      </c>
      <c r="D23" s="34" t="s">
        <v>9</v>
      </c>
      <c r="E23" s="35" t="s">
        <v>209</v>
      </c>
      <c r="F23" s="36"/>
    </row>
    <row r="24" ht="19.5" customHeight="1">
      <c r="A24" s="34" t="s">
        <v>21</v>
      </c>
      <c r="B24" s="35" t="s">
        <v>210</v>
      </c>
      <c r="C24" s="34" t="s">
        <v>22</v>
      </c>
      <c r="D24" s="34" t="s">
        <v>9</v>
      </c>
      <c r="E24" s="35" t="s">
        <v>211</v>
      </c>
      <c r="F24" s="34" t="s">
        <v>212</v>
      </c>
    </row>
    <row r="25" ht="19.5" customHeight="1">
      <c r="A25" s="34" t="s">
        <v>21</v>
      </c>
      <c r="B25" s="35" t="s">
        <v>213</v>
      </c>
      <c r="C25" s="34" t="s">
        <v>26</v>
      </c>
      <c r="D25" s="34" t="s">
        <v>3</v>
      </c>
      <c r="E25" s="35" t="s">
        <v>214</v>
      </c>
      <c r="F25" s="49">
        <v>46309.0</v>
      </c>
    </row>
    <row r="26" ht="19.5" customHeight="1">
      <c r="A26" s="34" t="s">
        <v>21</v>
      </c>
      <c r="B26" s="35" t="s">
        <v>215</v>
      </c>
      <c r="C26" s="34" t="s">
        <v>26</v>
      </c>
      <c r="D26" s="34" t="s">
        <v>9</v>
      </c>
      <c r="E26" s="35" t="s">
        <v>216</v>
      </c>
      <c r="F26" s="49">
        <v>46309.0</v>
      </c>
    </row>
    <row r="27" ht="19.5" customHeight="1">
      <c r="A27" s="34" t="s">
        <v>21</v>
      </c>
      <c r="B27" s="35" t="s">
        <v>217</v>
      </c>
      <c r="C27" s="34" t="s">
        <v>26</v>
      </c>
      <c r="D27" s="34" t="s">
        <v>9</v>
      </c>
      <c r="E27" s="35" t="s">
        <v>218</v>
      </c>
      <c r="F27" s="34" t="s">
        <v>219</v>
      </c>
    </row>
    <row r="28" ht="19.5" customHeight="1">
      <c r="A28" s="36"/>
      <c r="B28" s="40"/>
      <c r="C28" s="36"/>
      <c r="D28" s="36"/>
      <c r="E28" s="40"/>
      <c r="F28" s="36"/>
    </row>
    <row r="29" ht="19.5" customHeight="1">
      <c r="A29" s="36"/>
      <c r="B29" s="40"/>
      <c r="C29" s="36"/>
      <c r="D29" s="36"/>
      <c r="E29" s="40"/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34" t="s">
        <v>21</v>
      </c>
      <c r="B35" s="34" t="s">
        <v>20</v>
      </c>
      <c r="C35" s="34" t="s">
        <v>9</v>
      </c>
      <c r="D35" s="35" t="s">
        <v>235</v>
      </c>
      <c r="E35" s="35" t="s">
        <v>236</v>
      </c>
      <c r="F35" s="35" t="s">
        <v>237</v>
      </c>
      <c r="G35" s="34" t="s">
        <v>135</v>
      </c>
    </row>
    <row r="36" ht="19.5" customHeight="1">
      <c r="A36" s="34" t="s">
        <v>21</v>
      </c>
      <c r="B36" s="34" t="s">
        <v>20</v>
      </c>
      <c r="C36" s="34" t="s">
        <v>9</v>
      </c>
      <c r="D36" s="35" t="s">
        <v>178</v>
      </c>
      <c r="E36" s="35" t="s">
        <v>238</v>
      </c>
      <c r="F36" s="35" t="s">
        <v>239</v>
      </c>
      <c r="G36" s="34" t="s">
        <v>135</v>
      </c>
    </row>
    <row r="37" ht="19.5" customHeight="1">
      <c r="A37" s="34" t="s">
        <v>21</v>
      </c>
      <c r="B37" s="34" t="s">
        <v>20</v>
      </c>
      <c r="C37" s="34" t="s">
        <v>9</v>
      </c>
      <c r="D37" s="35" t="s">
        <v>240</v>
      </c>
      <c r="E37" s="35" t="s">
        <v>241</v>
      </c>
      <c r="F37" s="35" t="s">
        <v>242</v>
      </c>
      <c r="G37" s="34" t="s">
        <v>135</v>
      </c>
    </row>
    <row r="38" ht="19.5" customHeight="1">
      <c r="A38" s="34" t="s">
        <v>21</v>
      </c>
      <c r="B38" s="34" t="s">
        <v>20</v>
      </c>
      <c r="C38" s="34" t="s">
        <v>6</v>
      </c>
      <c r="D38" s="35" t="s">
        <v>243</v>
      </c>
      <c r="E38" s="35" t="s">
        <v>244</v>
      </c>
      <c r="F38" s="35" t="s">
        <v>245</v>
      </c>
      <c r="G38" s="34" t="s">
        <v>135</v>
      </c>
    </row>
    <row r="39" ht="19.5" customHeight="1">
      <c r="A39" s="34" t="s">
        <v>21</v>
      </c>
      <c r="B39" s="34" t="s">
        <v>20</v>
      </c>
      <c r="C39" s="34" t="s">
        <v>3</v>
      </c>
      <c r="D39" s="35" t="s">
        <v>246</v>
      </c>
      <c r="E39" s="35" t="s">
        <v>238</v>
      </c>
      <c r="F39" s="35" t="s">
        <v>247</v>
      </c>
      <c r="G39" s="34" t="s">
        <v>135</v>
      </c>
    </row>
    <row r="40" ht="19.5" customHeight="1">
      <c r="A40" s="34" t="s">
        <v>21</v>
      </c>
      <c r="B40" s="34" t="s">
        <v>22</v>
      </c>
      <c r="C40" s="34" t="s">
        <v>3</v>
      </c>
      <c r="D40" s="35" t="s">
        <v>248</v>
      </c>
      <c r="E40" s="35" t="s">
        <v>249</v>
      </c>
      <c r="F40" s="35" t="s">
        <v>250</v>
      </c>
      <c r="G40" s="34" t="s">
        <v>135</v>
      </c>
    </row>
    <row r="41" ht="19.5" customHeight="1">
      <c r="A41" s="34" t="s">
        <v>21</v>
      </c>
      <c r="B41" s="34" t="s">
        <v>22</v>
      </c>
      <c r="C41" s="34" t="s">
        <v>3</v>
      </c>
      <c r="D41" s="35" t="s">
        <v>251</v>
      </c>
      <c r="E41" s="35" t="s">
        <v>252</v>
      </c>
      <c r="F41" s="35" t="s">
        <v>253</v>
      </c>
      <c r="G41" s="34" t="s">
        <v>135</v>
      </c>
    </row>
    <row r="42" ht="19.5" customHeight="1">
      <c r="A42" s="34" t="s">
        <v>21</v>
      </c>
      <c r="B42" s="34" t="s">
        <v>26</v>
      </c>
      <c r="C42" s="34" t="s">
        <v>6</v>
      </c>
      <c r="D42" s="35" t="s">
        <v>254</v>
      </c>
      <c r="E42" s="35" t="s">
        <v>255</v>
      </c>
      <c r="F42" s="35" t="s">
        <v>256</v>
      </c>
      <c r="G42" s="34" t="s">
        <v>135</v>
      </c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hyperlinks>
    <hyperlink r:id="rId1" ref="E19"/>
    <hyperlink r:id="rId2" ref="E22"/>
  </hyperlinks>
  <printOptions/>
  <pageMargins bottom="1.0" footer="0.0" header="0.0" left="0.75" right="0.75" top="1.0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14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154</v>
      </c>
      <c r="B1" s="3"/>
      <c r="C1" s="3"/>
      <c r="D1" s="3"/>
      <c r="E1" s="3"/>
      <c r="F1" s="3"/>
      <c r="G1" s="4"/>
    </row>
    <row r="2" ht="24.0" customHeight="1">
      <c r="A2" s="7" t="s">
        <v>36</v>
      </c>
      <c r="B2" s="8"/>
      <c r="C2" s="9"/>
      <c r="D2" s="10" t="s">
        <v>38</v>
      </c>
      <c r="E2" s="11" t="s">
        <v>39</v>
      </c>
      <c r="F2" s="13"/>
      <c r="G2" s="13"/>
    </row>
    <row r="3" ht="19.5" customHeight="1">
      <c r="A3" s="14" t="s">
        <v>152</v>
      </c>
      <c r="B3" s="15"/>
      <c r="C3" s="16"/>
      <c r="D3" s="21">
        <f>COUNTA(B13:B32) + COUNTA(D35:D70)</f>
        <v>0</v>
      </c>
      <c r="E3" s="22" t="s">
        <v>51</v>
      </c>
      <c r="F3" s="23"/>
      <c r="G3" s="24"/>
    </row>
    <row r="4" ht="19.5" customHeight="1">
      <c r="A4" s="25" t="s">
        <v>52</v>
      </c>
      <c r="B4" s="15"/>
      <c r="C4" s="16"/>
      <c r="D4" s="21">
        <f>COUNTA(B13:B32)</f>
        <v>0</v>
      </c>
      <c r="E4" s="22" t="s">
        <v>53</v>
      </c>
      <c r="F4" s="23"/>
      <c r="G4" s="24"/>
    </row>
    <row r="5" ht="19.5" customHeight="1">
      <c r="A5" s="25" t="s">
        <v>54</v>
      </c>
      <c r="B5" s="15"/>
      <c r="C5" s="16"/>
      <c r="D5" s="21">
        <f>COUNTA(E35:E70)</f>
        <v>0</v>
      </c>
      <c r="E5" s="22" t="s">
        <v>55</v>
      </c>
      <c r="F5" s="23"/>
      <c r="G5" s="24"/>
    </row>
    <row r="6" ht="19.5" customHeight="1">
      <c r="A6" s="25" t="s">
        <v>56</v>
      </c>
      <c r="B6" s="15"/>
      <c r="C6" s="16"/>
      <c r="D6" s="21">
        <f>COUNTIF(G35:G70, "تم الحل")</f>
        <v>0</v>
      </c>
      <c r="E6" s="22" t="s">
        <v>57</v>
      </c>
      <c r="F6" s="23"/>
      <c r="G6" s="24"/>
    </row>
    <row r="7" ht="19.5" customHeight="1">
      <c r="A7" s="25" t="s">
        <v>47</v>
      </c>
      <c r="B7" s="15"/>
      <c r="C7" s="16"/>
      <c r="D7" s="21">
        <f>COUNTIF(G35:G70, "مستمرة")</f>
        <v>0</v>
      </c>
      <c r="E7" s="22" t="s">
        <v>58</v>
      </c>
      <c r="F7" s="23"/>
      <c r="G7" s="24"/>
    </row>
    <row r="8" ht="19.5" customHeight="1">
      <c r="A8" s="46" t="s">
        <v>59</v>
      </c>
      <c r="B8" s="28"/>
      <c r="C8" s="29"/>
      <c r="D8" s="30">
        <f>IFERROR(D6/(D6+D7), 0)</f>
        <v>0</v>
      </c>
      <c r="E8" s="31" t="s">
        <v>60</v>
      </c>
      <c r="F8" s="23"/>
      <c r="G8" s="24"/>
    </row>
    <row r="9" ht="13.5" customHeight="1"/>
    <row r="10" ht="13.5" customHeight="1"/>
    <row r="11" ht="25.5" customHeight="1">
      <c r="A11" s="32" t="s">
        <v>61</v>
      </c>
      <c r="B11" s="3"/>
      <c r="C11" s="3"/>
      <c r="D11" s="3"/>
      <c r="E11" s="3"/>
      <c r="F11" s="4"/>
    </row>
    <row r="12" ht="24.0" customHeight="1">
      <c r="A12" s="33" t="s">
        <v>62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ht="19.5" customHeight="1">
      <c r="A13" s="51" t="s">
        <v>21</v>
      </c>
      <c r="B13" s="40"/>
      <c r="C13" s="36"/>
      <c r="D13" s="36"/>
      <c r="E13" s="40"/>
      <c r="F13" s="36"/>
    </row>
    <row r="14" ht="19.5" customHeight="1">
      <c r="A14" s="36"/>
      <c r="B14" s="40"/>
      <c r="C14" s="36"/>
      <c r="D14" s="36"/>
      <c r="E14" s="40"/>
      <c r="F14" s="36"/>
    </row>
    <row r="15" ht="19.5" customHeight="1">
      <c r="A15" s="36"/>
      <c r="B15" s="40"/>
      <c r="C15" s="36"/>
      <c r="D15" s="36"/>
      <c r="E15" s="40"/>
      <c r="F15" s="36"/>
    </row>
    <row r="16" ht="19.5" customHeight="1">
      <c r="A16" s="36"/>
      <c r="B16" s="40"/>
      <c r="C16" s="36"/>
      <c r="D16" s="36"/>
      <c r="E16" s="40"/>
      <c r="F16" s="36"/>
    </row>
    <row r="17" ht="19.5" customHeight="1">
      <c r="A17" s="36"/>
      <c r="B17" s="40"/>
      <c r="C17" s="36"/>
      <c r="D17" s="36"/>
      <c r="E17" s="40"/>
      <c r="F17" s="36"/>
    </row>
    <row r="18" ht="19.5" customHeight="1">
      <c r="A18" s="36"/>
      <c r="B18" s="40"/>
      <c r="C18" s="36"/>
      <c r="D18" s="36"/>
      <c r="E18" s="40"/>
      <c r="F18" s="36"/>
    </row>
    <row r="19" ht="19.5" customHeight="1">
      <c r="A19" s="36"/>
      <c r="B19" s="40"/>
      <c r="C19" s="36"/>
      <c r="D19" s="36"/>
      <c r="E19" s="40"/>
      <c r="F19" s="36"/>
    </row>
    <row r="20" ht="19.5" customHeight="1">
      <c r="A20" s="36"/>
      <c r="B20" s="40"/>
      <c r="C20" s="36"/>
      <c r="D20" s="36"/>
      <c r="E20" s="40"/>
      <c r="F20" s="36"/>
    </row>
    <row r="21" ht="19.5" customHeight="1">
      <c r="A21" s="36"/>
      <c r="B21" s="40"/>
      <c r="C21" s="36"/>
      <c r="D21" s="36"/>
      <c r="E21" s="40"/>
      <c r="F21" s="36"/>
    </row>
    <row r="22" ht="19.5" customHeight="1">
      <c r="A22" s="36"/>
      <c r="B22" s="40"/>
      <c r="C22" s="36"/>
      <c r="D22" s="36"/>
      <c r="E22" s="40"/>
      <c r="F22" s="36"/>
    </row>
    <row r="23" ht="19.5" customHeight="1">
      <c r="A23" s="36"/>
      <c r="B23" s="40"/>
      <c r="C23" s="36"/>
      <c r="D23" s="36"/>
      <c r="E23" s="40"/>
      <c r="F23" s="36"/>
    </row>
    <row r="24" ht="19.5" customHeight="1">
      <c r="A24" s="36"/>
      <c r="B24" s="40"/>
      <c r="C24" s="36"/>
      <c r="D24" s="36"/>
      <c r="E24" s="40"/>
      <c r="F24" s="36"/>
    </row>
    <row r="25" ht="19.5" customHeight="1">
      <c r="A25" s="36"/>
      <c r="B25" s="40"/>
      <c r="C25" s="36"/>
      <c r="D25" s="36"/>
      <c r="E25" s="40"/>
      <c r="F25" s="36"/>
    </row>
    <row r="26" ht="19.5" customHeight="1">
      <c r="A26" s="36"/>
      <c r="B26" s="40"/>
      <c r="C26" s="36"/>
      <c r="D26" s="36"/>
      <c r="E26" s="40"/>
      <c r="F26" s="36"/>
    </row>
    <row r="27" ht="19.5" customHeight="1">
      <c r="A27" s="36"/>
      <c r="B27" s="40"/>
      <c r="C27" s="36"/>
      <c r="D27" s="36"/>
      <c r="E27" s="40"/>
      <c r="F27" s="36"/>
    </row>
    <row r="28" ht="19.5" customHeight="1">
      <c r="A28" s="36"/>
      <c r="B28" s="40"/>
      <c r="C28" s="36"/>
      <c r="D28" s="36"/>
      <c r="E28" s="40"/>
      <c r="F28" s="36"/>
    </row>
    <row r="29" ht="19.5" customHeight="1">
      <c r="A29" s="36"/>
      <c r="B29" s="40"/>
      <c r="C29" s="36"/>
      <c r="D29" s="36"/>
      <c r="E29" s="40"/>
      <c r="F29" s="36"/>
    </row>
    <row r="30" ht="19.5" customHeight="1">
      <c r="A30" s="36"/>
      <c r="B30" s="40"/>
      <c r="C30" s="36"/>
      <c r="D30" s="36"/>
      <c r="E30" s="40"/>
      <c r="F30" s="36"/>
    </row>
    <row r="31" ht="19.5" customHeight="1">
      <c r="A31" s="36"/>
      <c r="B31" s="40"/>
      <c r="C31" s="36"/>
      <c r="D31" s="36"/>
      <c r="E31" s="40"/>
      <c r="F31" s="36"/>
    </row>
    <row r="32" ht="19.5" customHeight="1">
      <c r="A32" s="36"/>
      <c r="B32" s="40"/>
      <c r="C32" s="36"/>
      <c r="D32" s="36"/>
      <c r="E32" s="40"/>
      <c r="F32" s="36"/>
    </row>
    <row r="33" ht="25.5" customHeight="1">
      <c r="A33" s="32" t="s">
        <v>120</v>
      </c>
      <c r="B33" s="3"/>
      <c r="C33" s="3"/>
      <c r="D33" s="3"/>
      <c r="E33" s="3"/>
      <c r="F33" s="3"/>
      <c r="G33" s="4"/>
    </row>
    <row r="34" ht="25.5" customHeight="1">
      <c r="A34" s="42" t="s">
        <v>62</v>
      </c>
      <c r="B34" s="42" t="s">
        <v>64</v>
      </c>
      <c r="C34" s="42" t="s">
        <v>65</v>
      </c>
      <c r="D34" s="42" t="s">
        <v>123</v>
      </c>
      <c r="E34" s="42" t="s">
        <v>124</v>
      </c>
      <c r="F34" s="42" t="s">
        <v>125</v>
      </c>
      <c r="G34" s="42" t="s">
        <v>126</v>
      </c>
    </row>
    <row r="35" ht="19.5" customHeight="1">
      <c r="A35" s="36"/>
      <c r="B35" s="36"/>
      <c r="C35" s="36"/>
      <c r="D35" s="40"/>
      <c r="E35" s="40"/>
      <c r="F35" s="40"/>
      <c r="G35" s="36"/>
    </row>
    <row r="36" ht="19.5" customHeight="1">
      <c r="A36" s="36"/>
      <c r="B36" s="36"/>
      <c r="C36" s="36"/>
      <c r="D36" s="40"/>
      <c r="E36" s="40"/>
      <c r="F36" s="40"/>
      <c r="G36" s="36"/>
    </row>
    <row r="37" ht="19.5" customHeight="1">
      <c r="A37" s="36"/>
      <c r="B37" s="36"/>
      <c r="C37" s="36"/>
      <c r="D37" s="40"/>
      <c r="E37" s="40"/>
      <c r="F37" s="40"/>
      <c r="G37" s="36"/>
    </row>
    <row r="38" ht="19.5" customHeight="1">
      <c r="A38" s="36"/>
      <c r="B38" s="36"/>
      <c r="C38" s="36"/>
      <c r="D38" s="40"/>
      <c r="E38" s="40"/>
      <c r="F38" s="40"/>
      <c r="G38" s="36"/>
    </row>
    <row r="39" ht="19.5" customHeight="1">
      <c r="A39" s="36"/>
      <c r="B39" s="36"/>
      <c r="C39" s="36"/>
      <c r="D39" s="40"/>
      <c r="E39" s="40"/>
      <c r="F39" s="40"/>
      <c r="G39" s="36"/>
    </row>
    <row r="40" ht="19.5" customHeight="1">
      <c r="A40" s="36"/>
      <c r="B40" s="36"/>
      <c r="C40" s="36"/>
      <c r="D40" s="40"/>
      <c r="E40" s="40"/>
      <c r="F40" s="40"/>
      <c r="G40" s="36"/>
    </row>
    <row r="41" ht="19.5" customHeight="1">
      <c r="A41" s="36"/>
      <c r="B41" s="36"/>
      <c r="C41" s="36"/>
      <c r="D41" s="40"/>
      <c r="E41" s="40"/>
      <c r="F41" s="40"/>
      <c r="G41" s="36"/>
    </row>
    <row r="42" ht="19.5" customHeight="1">
      <c r="A42" s="36"/>
      <c r="B42" s="36"/>
      <c r="C42" s="36"/>
      <c r="D42" s="40"/>
      <c r="E42" s="40"/>
      <c r="F42" s="40"/>
      <c r="G42" s="36"/>
    </row>
    <row r="43" ht="19.5" customHeight="1">
      <c r="A43" s="36"/>
      <c r="B43" s="36"/>
      <c r="C43" s="36"/>
      <c r="D43" s="40"/>
      <c r="E43" s="40"/>
      <c r="F43" s="40"/>
      <c r="G43" s="36"/>
    </row>
    <row r="44" ht="19.5" customHeight="1">
      <c r="A44" s="36"/>
      <c r="B44" s="36"/>
      <c r="C44" s="36"/>
      <c r="D44" s="40"/>
      <c r="E44" s="40"/>
      <c r="F44" s="40"/>
      <c r="G44" s="36"/>
    </row>
    <row r="45" ht="19.5" customHeight="1">
      <c r="A45" s="36"/>
      <c r="B45" s="36"/>
      <c r="C45" s="36"/>
      <c r="D45" s="40"/>
      <c r="E45" s="40"/>
      <c r="F45" s="40"/>
      <c r="G45" s="36"/>
    </row>
    <row r="46" ht="19.5" customHeight="1">
      <c r="A46" s="36"/>
      <c r="B46" s="36"/>
      <c r="C46" s="36"/>
      <c r="D46" s="40"/>
      <c r="E46" s="40"/>
      <c r="F46" s="40"/>
      <c r="G46" s="36"/>
    </row>
    <row r="47" ht="19.5" customHeight="1">
      <c r="A47" s="36"/>
      <c r="B47" s="36"/>
      <c r="C47" s="36"/>
      <c r="D47" s="40"/>
      <c r="E47" s="40"/>
      <c r="F47" s="40"/>
      <c r="G47" s="36"/>
    </row>
    <row r="48" ht="19.5" customHeight="1">
      <c r="A48" s="36"/>
      <c r="B48" s="36"/>
      <c r="C48" s="36"/>
      <c r="D48" s="40"/>
      <c r="E48" s="40"/>
      <c r="F48" s="40"/>
      <c r="G48" s="36"/>
    </row>
    <row r="49" ht="19.5" customHeight="1">
      <c r="A49" s="36"/>
      <c r="B49" s="36"/>
      <c r="C49" s="36"/>
      <c r="D49" s="40"/>
      <c r="E49" s="40"/>
      <c r="F49" s="40"/>
      <c r="G49" s="36"/>
    </row>
    <row r="50" ht="19.5" customHeight="1">
      <c r="A50" s="36"/>
      <c r="B50" s="36"/>
      <c r="C50" s="36"/>
      <c r="D50" s="40"/>
      <c r="E50" s="40"/>
      <c r="F50" s="40"/>
      <c r="G50" s="36"/>
    </row>
    <row r="51" ht="19.5" customHeight="1">
      <c r="A51" s="36"/>
      <c r="B51" s="36"/>
      <c r="C51" s="36"/>
      <c r="D51" s="40"/>
      <c r="E51" s="40"/>
      <c r="F51" s="40"/>
      <c r="G51" s="36"/>
    </row>
    <row r="52" ht="19.5" customHeight="1">
      <c r="A52" s="36"/>
      <c r="B52" s="36"/>
      <c r="C52" s="36"/>
      <c r="D52" s="40"/>
      <c r="E52" s="40"/>
      <c r="F52" s="40"/>
      <c r="G52" s="36"/>
    </row>
    <row r="53" ht="19.5" customHeight="1">
      <c r="A53" s="36"/>
      <c r="B53" s="36"/>
      <c r="C53" s="36"/>
      <c r="D53" s="40"/>
      <c r="E53" s="40"/>
      <c r="F53" s="40"/>
      <c r="G53" s="36"/>
    </row>
    <row r="54" ht="19.5" customHeight="1">
      <c r="A54" s="36"/>
      <c r="B54" s="36"/>
      <c r="C54" s="36"/>
      <c r="D54" s="40"/>
      <c r="E54" s="40"/>
      <c r="F54" s="40"/>
      <c r="G54" s="36"/>
    </row>
    <row r="55" ht="19.5" customHeight="1">
      <c r="A55" s="36"/>
      <c r="B55" s="36"/>
      <c r="C55" s="36"/>
      <c r="D55" s="40"/>
      <c r="E55" s="40"/>
      <c r="F55" s="40"/>
      <c r="G55" s="36"/>
    </row>
    <row r="56" ht="19.5" customHeight="1">
      <c r="A56" s="36"/>
      <c r="B56" s="36"/>
      <c r="C56" s="36"/>
      <c r="D56" s="40"/>
      <c r="E56" s="40"/>
      <c r="F56" s="40"/>
      <c r="G56" s="36"/>
    </row>
    <row r="57" ht="19.5" customHeight="1">
      <c r="A57" s="36"/>
      <c r="B57" s="36"/>
      <c r="C57" s="36"/>
      <c r="D57" s="40"/>
      <c r="E57" s="40"/>
      <c r="F57" s="40"/>
      <c r="G57" s="36"/>
    </row>
    <row r="58" ht="19.5" customHeight="1">
      <c r="A58" s="36"/>
      <c r="B58" s="36"/>
      <c r="C58" s="36"/>
      <c r="D58" s="40"/>
      <c r="E58" s="40"/>
      <c r="F58" s="40"/>
      <c r="G58" s="36"/>
    </row>
    <row r="59" ht="19.5" customHeight="1">
      <c r="A59" s="36"/>
      <c r="B59" s="36"/>
      <c r="C59" s="36"/>
      <c r="D59" s="40"/>
      <c r="E59" s="40"/>
      <c r="F59" s="40"/>
      <c r="G59" s="36"/>
    </row>
    <row r="60" ht="19.5" customHeight="1">
      <c r="A60" s="36"/>
      <c r="B60" s="36"/>
      <c r="C60" s="36"/>
      <c r="D60" s="40"/>
      <c r="E60" s="40"/>
      <c r="F60" s="40"/>
      <c r="G60" s="36"/>
    </row>
    <row r="61" ht="19.5" customHeight="1">
      <c r="A61" s="36"/>
      <c r="B61" s="36"/>
      <c r="C61" s="36"/>
      <c r="D61" s="40"/>
      <c r="E61" s="40"/>
      <c r="F61" s="40"/>
      <c r="G61" s="36"/>
    </row>
    <row r="62" ht="19.5" customHeight="1">
      <c r="A62" s="36"/>
      <c r="B62" s="36"/>
      <c r="C62" s="36"/>
      <c r="D62" s="40"/>
      <c r="E62" s="40"/>
      <c r="F62" s="40"/>
      <c r="G62" s="36"/>
    </row>
    <row r="63" ht="19.5" customHeight="1">
      <c r="A63" s="36"/>
      <c r="B63" s="36"/>
      <c r="C63" s="36"/>
      <c r="D63" s="40"/>
      <c r="E63" s="40"/>
      <c r="F63" s="40"/>
      <c r="G63" s="36"/>
    </row>
    <row r="64" ht="19.5" customHeight="1">
      <c r="A64" s="36"/>
      <c r="B64" s="36"/>
      <c r="C64" s="36"/>
      <c r="D64" s="40"/>
      <c r="E64" s="40"/>
      <c r="F64" s="40"/>
      <c r="G64" s="36"/>
    </row>
    <row r="65" ht="19.5" customHeight="1">
      <c r="A65" s="36"/>
      <c r="B65" s="36"/>
      <c r="C65" s="36"/>
      <c r="D65" s="40"/>
      <c r="E65" s="40"/>
      <c r="F65" s="40"/>
      <c r="G65" s="36"/>
    </row>
    <row r="66" ht="19.5" customHeight="1">
      <c r="A66" s="36"/>
      <c r="B66" s="36"/>
      <c r="C66" s="36"/>
      <c r="D66" s="40"/>
      <c r="E66" s="40"/>
      <c r="F66" s="40"/>
      <c r="G66" s="36"/>
    </row>
    <row r="67" ht="19.5" customHeight="1">
      <c r="A67" s="36"/>
      <c r="B67" s="36"/>
      <c r="C67" s="36"/>
      <c r="D67" s="40"/>
      <c r="E67" s="40"/>
      <c r="F67" s="40"/>
      <c r="G67" s="36"/>
    </row>
    <row r="68" ht="19.5" customHeight="1">
      <c r="A68" s="36"/>
      <c r="B68" s="36"/>
      <c r="C68" s="36"/>
      <c r="D68" s="40"/>
      <c r="E68" s="40"/>
      <c r="F68" s="40"/>
      <c r="G68" s="36"/>
    </row>
    <row r="69" ht="19.5" customHeight="1">
      <c r="A69" s="36"/>
      <c r="B69" s="36"/>
      <c r="C69" s="36"/>
      <c r="D69" s="40"/>
      <c r="E69" s="40"/>
      <c r="F69" s="40"/>
      <c r="G69" s="36"/>
    </row>
    <row r="70" ht="19.5" customHeight="1">
      <c r="A70" s="36"/>
      <c r="B70" s="36"/>
      <c r="C70" s="36"/>
      <c r="D70" s="40"/>
      <c r="E70" s="40"/>
      <c r="F70" s="40"/>
      <c r="G70" s="36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2026-10-18T07:09:15Z</dcterms:created>
  <dc:creator>openpyxl</dc:creator>
</cp:coreProperties>
</file>